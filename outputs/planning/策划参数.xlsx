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25d914694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与量级" sheetId="1" r:id="R50e67d05098143f3"/>
    <x:sheet xmlns:r="http://schemas.openxmlformats.org/officeDocument/2006/relationships" name="01 判定与容错" sheetId="2" r:id="R23360d6958ef4471"/>
    <x:sheet xmlns:r="http://schemas.openxmlformats.org/officeDocument/2006/relationships" name="02 魂火与惩罚" sheetId="3" r:id="R27d24fb0503944f0"/>
    <x:sheet xmlns:r="http://schemas.openxmlformats.org/officeDocument/2006/relationships" name="03 调频" sheetId="4" r:id="Ra50b44aa9d0f46e4"/>
    <x:sheet xmlns:r="http://schemas.openxmlformats.org/officeDocument/2006/relationships" name="04 计分" sheetId="5" r:id="Rc381be0f4ce54a97"/>
    <x:sheet xmlns:r="http://schemas.openxmlformats.org/officeDocument/2006/relationships" name="05 读谱与声波" sheetId="6" r:id="R49a477296d7245be"/>
    <x:sheet xmlns:r="http://schemas.openxmlformats.org/officeDocument/2006/relationships" name="06 随从" sheetId="7" r:id="Rc1d0fcc3e07a44d2"/>
    <x:sheet xmlns:r="http://schemas.openxmlformats.org/officeDocument/2006/relationships" name="07 分界线表现" sheetId="8" r:id="Rba68e7b4875c40a7"/>
    <x:sheet xmlns:r="http://schemas.openxmlformats.org/officeDocument/2006/relationships" name="08 角色移动" sheetId="9" r:id="R19ad071dc2664a5a"/>
    <x:sheet xmlns:r="http://schemas.openxmlformats.org/officeDocument/2006/relationships" name="09 BOSS 表现" sheetId="10" r:id="R83e2225aeace4520"/>
    <x:sheet xmlns:r="http://schemas.openxmlformats.org/officeDocument/2006/relationships" name="10 UI 火框" sheetId="11" r:id="Rab8cb75fb0264a92"/>
    <x:sheet xmlns:r="http://schemas.openxmlformats.org/officeDocument/2006/relationships" name="11 关卡奖励" sheetId="12" r:id="R82f2e7ec93b742be"/>
    <x:sheet xmlns:r="http://schemas.openxmlformats.org/officeDocument/2006/relationships" name="12 开屏引导" sheetId="13" r:id="R4741db5898bb4c96"/>
    <x:sheet xmlns:r="http://schemas.openxmlformats.org/officeDocument/2006/relationships" name="13 判定表现" sheetId="14" r:id="R9f1c103a41944ccd"/>
    <x:sheet xmlns:r="http://schemas.openxmlformats.org/officeDocument/2006/relationships" name="14 计时与键位" sheetId="15" r:id="R9e01eea9c103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%"/>
    <x:numFmt numFmtId="202" formatCode="0.00"/>
    <x:numFmt numFmtId="203" formatCode="0%"/>
    <x:numFmt numFmtId="204" formatCode="0.000"/>
    <x:numFmt numFmtId="205" formatCode="0.0000"/>
    <x:numFmt numFmtId="206" formatCode="@"/>
  </x:numFmts>
  <x:fonts count="4">
    <x:font>
      <x:sz val="11"/>
      <x:name val="Carlito"/>
    </x:font>
    <x:font>
      <x:sz val="11"/>
      <x:color rgb="FF27363A"/>
      <x:name val="Microsoft YaHei"/>
    </x:font>
    <x:font>
      <x:b/>
      <x:sz val="16"/>
      <x:color rgb="FF27363A"/>
      <x:name val="Microsoft YaHei"/>
    </x:font>
    <x:font>
      <x:b/>
      <x:sz val="11"/>
      <x:color rgb="FFFFFFFF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3F5967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FFF0C2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  <x:fill>
      <x:patternFill patternType="solid">
        <x:fgColor rgb="FFE7E8EA"/>
      </x:patternFill>
    </x:fill>
  </x:fills>
  <x:borders count="1">
    <x:border/>
  </x:borders>
  <x:cellStyleXfs count="1">
    <x:xf numFmtId="0" fontId="0" fillId="0" borderId="0"/>
  </x:cellStyleXfs>
  <x:cellXfs count="1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5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5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5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5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0" fontId="1" fillId="10" borderId="0" xfId="0" applyNumberFormat="1" applyFont="1" applyFill="1" applyBorder="1" applyAlignment="1">
      <x:alignment vertical="center"/>
    </x:xf>
    <x:xf numFmtId="205" fontId="1" fillId="10" borderId="0" xfId="0" applyNumberFormat="1" applyFont="1" applyFill="1" applyBorder="1" applyAlignment="1">
      <x:alignment vertical="center"/>
    </x:xf>
    <x:xf numFmtId="201" fontId="1" fillId="10" borderId="0" xfId="0" applyNumberFormat="1" applyFont="1" applyFill="1" applyBorder="1" applyAlignment="1">
      <x:alignment vertical="center"/>
    </x:xf>
    <x:xf numFmtId="205" fontId="1" fillId="11" borderId="0" xfId="0" applyNumberFormat="1" applyFont="1" applyFill="1" applyBorder="1" applyAlignment="1">
      <x:alignment vertical="center"/>
    </x:xf>
    <x:xf numFmtId="20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/>
    <x:xf numFmtId="0" fontId="3" fillId="12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205" fontId="1" fillId="13" borderId="0" xfId="0" applyNumberFormat="1" applyFont="1" applyFill="1" applyBorder="1" applyAlignment="1">
      <x:alignment vertical="center"/>
    </x:xf>
    <x:xf numFmtId="206" fontId="1" fillId="1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1" fillId="14" borderId="0" xfId="0" applyNumberFormat="1" applyFont="1" applyFill="1" applyBorder="1" applyAlignment="1">
      <x:alignment vertical="center"/>
    </x:xf>
    <x:xf numFmtId="200" fontId="1" fillId="14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5" fontId="1" fillId="15" borderId="0" xfId="0" applyNumberFormat="1" applyFont="1" applyFill="1" applyBorder="1" applyAlignment="1">
      <x:alignment vertical="center"/>
    </x:xf>
    <x:xf numFmtId="200" fontId="1" fillId="15" borderId="0" xfId="0" applyNumberFormat="1" applyFont="1" applyFill="1" applyBorder="1" applyAlignment="1">
      <x:alignment vertical="center"/>
    </x:xf>
    <x:xf numFmtId="205" fontId="1" fillId="16" borderId="0" xfId="0" applyNumberFormat="1" applyFont="1" applyFill="1" applyBorder="1" applyAlignment="1">
      <x:alignment vertical="center"/>
    </x:xf>
    <x:xf numFmtId="200" fontId="1" fillId="16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205" fontId="1" fillId="17" borderId="0" xfId="0" applyNumberFormat="1" applyFont="1" applyFill="1" applyBorder="1" applyAlignment="1">
      <x:alignment vertical="center"/>
    </x:xf>
    <x:xf numFmtId="201" fontId="1" fillId="17" borderId="0" xfId="0" applyNumberFormat="1" applyFont="1" applyFill="1" applyBorder="1" applyAlignment="1">
      <x:alignment vertical="center"/>
    </x:xf>
    <x:xf numFmtId="201" fontId="1" fillId="16" borderId="0" xfId="0" applyNumberFormat="1" applyFont="1" applyFill="1" applyBorder="1" applyAlignment="1">
      <x:alignment vertical="center"/>
    </x:xf>
    <x:xf numFmtId="205" fontId="1" fillId="18" borderId="0" xfId="0" applyNumberFormat="1" applyFont="1" applyFill="1" applyBorder="1" applyAlignment="1">
      <x:alignment vertical="center"/>
    </x:xf>
    <x:xf numFmtId="200" fontId="1" fillId="18" borderId="0" xfId="0" applyNumberFormat="1" applyFont="1" applyFill="1" applyBorder="1" applyAlignment="1">
      <x:alignment vertical="center"/>
    </x:xf>
    <x:xf numFmtId="201" fontId="1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3" fillId="19" borderId="0" xfId="0" applyNumberFormat="1" applyFont="1" applyFill="1" applyBorder="1"/>
    <x:xf numFmtId="0" fontId="1" fillId="20" borderId="0" xfId="0" applyNumberFormat="1" applyFont="1" applyFill="1" applyBorder="1" applyAlignment="1">
      <x:alignment vertical="center"/>
    </x:xf>
    <x:xf numFmtId="205" fontId="1" fillId="20" borderId="0" xfId="0" applyNumberFormat="1" applyFont="1" applyFill="1" applyBorder="1" applyAlignment="1">
      <x:alignment vertical="center"/>
    </x:xf>
    <x:xf numFmtId="205" fontId="1" fillId="21" borderId="0" xfId="0" applyNumberFormat="1" applyFont="1" applyFill="1" applyBorder="1" applyAlignment="1">
      <x:alignment vertical="center"/>
    </x:xf>
    <x:xf numFmtId="200" fontId="1" fillId="21" borderId="0" xfId="0" applyNumberFormat="1" applyFont="1" applyFill="1" applyBorder="1" applyAlignment="1">
      <x:alignment vertical="center"/>
    </x:xf>
    <x:xf numFmtId="201" fontId="1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205" fontId="1" fillId="22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/>
    <x:xf numFmtId="0" fontId="3" fillId="23" borderId="0" xfId="0" applyNumberFormat="1" applyFont="1" applyFill="1" applyBorder="1"/>
    <x:xf numFmtId="0" fontId="1" fillId="24" borderId="0" xfId="0" applyNumberFormat="1" applyFont="1" applyFill="1" applyBorder="1" applyAlignment="1">
      <x:alignment vertical="center"/>
    </x:xf>
    <x:xf numFmtId="205" fontId="1" fillId="24" borderId="0" xfId="0" applyNumberFormat="1" applyFont="1" applyFill="1" applyBorder="1" applyAlignment="1">
      <x:alignment vertical="center"/>
    </x:xf>
    <x:xf numFmtId="0" fontId="1" fillId="25" borderId="0" xfId="0" applyNumberFormat="1" applyFont="1" applyFill="1" applyBorder="1" applyAlignment="1">
      <x:alignment vertical="center"/>
    </x:xf>
    <x:xf numFmtId="205" fontId="1" fillId="25" borderId="0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205" fontId="1" fillId="26" borderId="0" xfId="0" applyNumberFormat="1" applyFont="1" applyFill="1" applyBorder="1" applyAlignment="1">
      <x:alignment vertical="center"/>
    </x:xf>
    <x:xf numFmtId="205" fontId="1" fillId="27" borderId="0" xfId="0" applyNumberFormat="1" applyFont="1" applyFill="1" applyBorder="1" applyAlignment="1">
      <x:alignment vertical="center"/>
    </x:xf>
    <x:xf numFmtId="200" fontId="1" fillId="27" borderId="0" xfId="0" applyNumberFormat="1" applyFont="1" applyFill="1" applyBorder="1" applyAlignment="1">
      <x:alignment vertical="center"/>
    </x:xf>
    <x:xf numFmtId="201" fontId="1" fillId="27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/>
    <x:xf numFmtId="0" fontId="3" fillId="28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206" fontId="1" fillId="29" borderId="0" xfId="0" applyNumberFormat="1" applyFont="1" applyFill="1" applyBorder="1" applyAlignment="1">
      <x:alignment vertical="center"/>
    </x:xf>
    <x:xf numFmtId="200" fontId="1" fillId="29" borderId="0" xfId="0" applyNumberFormat="1" applyFont="1" applyFill="1" applyBorder="1" applyAlignment="1">
      <x:alignment vertical="center"/>
    </x:xf>
    <x:xf numFmtId="205" fontId="1" fillId="30" borderId="0" xfId="0" applyNumberFormat="1" applyFont="1" applyFill="1" applyBorder="1" applyAlignment="1">
      <x:alignment vertical="center"/>
    </x:xf>
    <x:xf numFmtId="200" fontId="1" fillId="30" borderId="0" xfId="0" applyNumberFormat="1" applyFont="1" applyFill="1" applyBorder="1" applyAlignment="1">
      <x:alignment vertical="center"/>
    </x:xf>
    <x:xf numFmtId="201" fontId="1" fillId="30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/>
    <x:xf numFmtId="0" fontId="3" fillId="31" borderId="0" xfId="0" applyNumberFormat="1" applyFont="1" applyFill="1" applyBorder="1"/>
    <x:xf numFmtId="0" fontId="1" fillId="32" borderId="0" xfId="0" applyNumberFormat="1" applyFont="1" applyFill="1" applyBorder="1" applyAlignment="1">
      <x:alignment vertical="center"/>
    </x:xf>
    <x:xf numFmtId="205" fontId="1" fillId="32" borderId="0" xfId="0" applyNumberFormat="1" applyFont="1" applyFill="1" applyBorder="1" applyAlignment="1">
      <x:alignment vertical="center"/>
    </x:xf>
    <x:xf numFmtId="0" fontId="1" fillId="33" borderId="0" xfId="0" applyNumberFormat="1" applyFont="1" applyFill="1" applyBorder="1" applyAlignment="1">
      <x:alignment vertical="center"/>
    </x:xf>
    <x:xf numFmtId="205" fontId="1" fillId="33" borderId="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/>
    <x:xf numFmtId="0" fontId="3" fillId="34" borderId="0" xfId="0" applyNumberFormat="1" applyFont="1" applyFill="1" applyBorder="1"/>
    <x:xf numFmtId="0" fontId="1" fillId="35" borderId="0" xfId="0" applyNumberFormat="1" applyFont="1" applyFill="1" applyBorder="1" applyAlignment="1">
      <x:alignment vertical="center"/>
    </x:xf>
    <x:xf numFmtId="205" fontId="1" fillId="35" borderId="0" xfId="0" applyNumberFormat="1" applyFont="1" applyFill="1" applyBorder="1" applyAlignment="1">
      <x:alignment vertical="center"/>
    </x:xf>
    <x:xf numFmtId="201" fontId="1" fillId="35" borderId="0" xfId="0" applyNumberFormat="1" applyFont="1" applyFill="1" applyBorder="1" applyAlignment="1">
      <x:alignment vertical="center"/>
    </x:xf>
    <x:xf numFmtId="206" fontId="1" fillId="35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/>
    </x:xf>
    <x:xf numFmtId="205" fontId="1" fillId="36" borderId="0" xfId="0" applyNumberFormat="1" applyFont="1" applyFill="1" applyBorder="1" applyAlignment="1">
      <x:alignment vertical="center"/>
    </x:xf>
    <x:xf numFmtId="205" fontId="1" fillId="37" borderId="0" xfId="0" applyNumberFormat="1" applyFont="1" applyFill="1" applyBorder="1" applyAlignment="1">
      <x:alignment vertical="center"/>
    </x:xf>
    <x:xf numFmtId="200" fontId="1" fillId="37" borderId="0" xfId="0" applyNumberFormat="1" applyFont="1" applyFill="1" applyBorder="1" applyAlignment="1">
      <x:alignment vertical="center"/>
    </x:xf>
    <x:xf numFmtId="201" fontId="1" fillId="37" borderId="0" xfId="0" applyNumberFormat="1" applyFont="1" applyFill="1" applyBorder="1" applyAlignment="1">
      <x:alignment vertical="center"/>
    </x:xf>
    <x:xf numFmtId="205" fontId="1" fillId="38" borderId="0" xfId="0" applyNumberFormat="1" applyFont="1" applyFill="1" applyBorder="1" applyAlignment="1">
      <x:alignment vertical="center"/>
    </x:xf>
    <x:xf numFmtId="200" fontId="1" fillId="38" borderId="0" xfId="0" applyNumberFormat="1" applyFont="1" applyFill="1" applyBorder="1" applyAlignment="1">
      <x:alignment vertical="center"/>
    </x:xf>
    <x:xf numFmtId="201" fontId="1" fillId="38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/>
    </x:xf>
    <x:xf numFmtId="205" fontId="1" fillId="39" borderId="0" xfId="0" applyNumberFormat="1" applyFont="1" applyFill="1" applyBorder="1" applyAlignment="1">
      <x:alignment vertical="center"/>
    </x:xf>
    <x:xf numFmtId="205" fontId="1" fillId="40" borderId="0" xfId="0" applyNumberFormat="1" applyFont="1" applyFill="1" applyBorder="1" applyAlignment="1">
      <x:alignment vertical="center"/>
    </x:xf>
    <x:xf numFmtId="200" fontId="1" fillId="40" borderId="0" xfId="0" applyNumberFormat="1" applyFont="1" applyFill="1" applyBorder="1" applyAlignment="1">
      <x:alignment vertical="center"/>
    </x:xf>
    <x:xf numFmtId="201" fontId="1" fillId="40" borderId="0" xfId="0" applyNumberFormat="1" applyFont="1" applyFill="1" applyBorder="1" applyAlignment="1">
      <x:alignment vertical="center"/>
    </x:xf>
    <x:xf numFmtId="0" fontId="1" fillId="41" borderId="0" xfId="0" applyNumberFormat="1" applyFont="1" applyFill="1" applyBorder="1" applyAlignment="1">
      <x:alignment vertical="center"/>
    </x:xf>
    <x:xf numFmtId="201" fontId="1" fillId="41" borderId="0" xfId="0" applyNumberFormat="1" applyFont="1" applyFill="1" applyBorder="1" applyAlignment="1">
      <x:alignment vertical="center"/>
    </x:xf>
    <x:xf numFmtId="205" fontId="1" fillId="42" borderId="0" xfId="0" applyNumberFormat="1" applyFont="1" applyFill="1" applyBorder="1" applyAlignment="1">
      <x:alignment vertical="center"/>
    </x:xf>
    <x:xf numFmtId="200" fontId="1" fillId="42" borderId="0" xfId="0" applyNumberFormat="1" applyFont="1" applyFill="1" applyBorder="1" applyAlignment="1">
      <x:alignment vertical="center"/>
    </x:xf>
    <x:xf numFmtId="201" fontId="1" fillId="42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/>
    </x:xf>
    <x:xf numFmtId="205" fontId="1" fillId="43" borderId="0" xfId="0" applyNumberFormat="1" applyFont="1" applyFill="1" applyBorder="1" applyAlignment="1">
      <x:alignment vertical="center"/>
    </x:xf>
    <x:xf numFmtId="200" fontId="1" fillId="44" borderId="0" xfId="0" applyNumberFormat="1" applyFont="1" applyFill="1" applyBorder="1" applyAlignment="1">
      <x:alignment vertical="center"/>
    </x:xf>
    <x:xf numFmtId="205" fontId="1" fillId="44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/>
    <x:xf numFmtId="0" fontId="3" fillId="45" borderId="0" xfId="0" applyNumberFormat="1" applyFont="1" applyFill="1" applyBorder="1"/>
    <x:xf numFmtId="0" fontId="1" fillId="46" borderId="0" xfId="0" applyNumberFormat="1" applyFont="1" applyFill="1" applyBorder="1" applyAlignment="1">
      <x:alignment vertical="center"/>
    </x:xf>
    <x:xf numFmtId="201" fontId="1" fillId="46" borderId="0" xfId="0" applyNumberFormat="1" applyFont="1" applyFill="1" applyBorder="1" applyAlignment="1">
      <x:alignment vertical="center"/>
    </x:xf>
    <x:xf numFmtId="205" fontId="1" fillId="46" borderId="0" xfId="0" applyNumberFormat="1" applyFont="1" applyFill="1" applyBorder="1" applyAlignment="1">
      <x:alignment vertical="center"/>
    </x:xf>
    <x:xf numFmtId="200" fontId="1" fillId="47" borderId="0" xfId="0" applyNumberFormat="1" applyFont="1" applyFill="1" applyBorder="1" applyAlignment="1">
      <x:alignment vertical="center"/>
    </x:xf>
    <x:xf numFmtId="205" fontId="1" fillId="47" borderId="0" xfId="0" applyNumberFormat="1" applyFont="1" applyFill="1" applyBorder="1" applyAlignment="1">
      <x:alignment vertical="center"/>
    </x:xf>
    <x:xf numFmtId="200" fontId="1" fillId="48" borderId="0" xfId="0" applyNumberFormat="1" applyFont="1" applyFill="1" applyBorder="1" applyAlignment="1">
      <x:alignment vertical="center"/>
    </x:xf>
    <x:xf numFmtId="205" fontId="1" fillId="48" borderId="0" xfId="0" applyNumberFormat="1" applyFont="1" applyFill="1" applyBorder="1" applyAlignment="1">
      <x:alignment vertical="center"/>
    </x:xf>
    <x:xf numFmtId="0" fontId="1" fillId="49" borderId="0" xfId="0" applyNumberFormat="1" applyFont="1" applyFill="1" applyBorder="1" applyAlignment="1">
      <x:alignment vertical="center"/>
    </x:xf>
    <x:xf numFmtId="205" fontId="1" fillId="49" borderId="0" xfId="0" applyNumberFormat="1" applyFont="1" applyFill="1" applyBorder="1" applyAlignment="1">
      <x:alignment vertical="center"/>
    </x:xf>
    <x:xf numFmtId="200" fontId="1" fillId="50" borderId="0" xfId="0" applyNumberFormat="1" applyFont="1" applyFill="1" applyBorder="1" applyAlignment="1">
      <x:alignment vertical="center"/>
    </x:xf>
    <x:xf numFmtId="200" fontId="1" fillId="51" borderId="0" xfId="0" applyNumberFormat="1" applyFont="1" applyFill="1" applyBorder="1" applyAlignment="1">
      <x:alignment vertical="center"/>
    </x:xf>
    <x:xf numFmtId="205" fontId="1" fillId="50" borderId="0" xfId="0" applyNumberFormat="1" applyFont="1" applyFill="1" applyBorder="1" applyAlignment="1">
      <x:alignment vertical="center"/>
    </x:xf>
    <x:xf numFmtId="205" fontId="1" fillId="51" borderId="0" xfId="0" applyNumberFormat="1" applyFont="1" applyFill="1" applyBorder="1" applyAlignment="1">
      <x:alignment vertical="center"/>
    </x:xf>
    <x:xf numFmtId="205" fontId="1" fillId="52" borderId="0" xfId="0" applyNumberFormat="1" applyFont="1" applyFill="1" applyBorder="1" applyAlignment="1">
      <x:alignment vertical="center"/>
    </x:xf>
    <x:xf numFmtId="205" fontId="1" fillId="53" borderId="0" xfId="0" applyNumberFormat="1" applyFont="1" applyFill="1" applyBorder="1" applyAlignment="1">
      <x:alignment vertical="center"/>
    </x:xf>
    <x:xf numFmtId="205" fontId="1" fillId="54" borderId="0" xfId="0" applyNumberFormat="1" applyFont="1" applyFill="1" applyBorder="1" applyAlignment="1">
      <x:alignment vertical="center"/>
    </x:xf>
    <x:xf numFmtId="205" fontId="1" fillId="5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0f0582eaf48d8" /><Relationship Type="http://schemas.openxmlformats.org/officeDocument/2006/relationships/theme" Target="/xl/theme/theme1.xml" Id="Rd1a8955fa3584301" /><Relationship Type="http://schemas.openxmlformats.org/officeDocument/2006/relationships/sharedStrings" Target="/xl/sharedStrings.xml" Id="R78a5f73808b74d19" /><Relationship Type="http://schemas.openxmlformats.org/officeDocument/2006/relationships/worksheet" Target="/xl/worksheets/sheet1.xml" Id="R50e67d05098143f3" /><Relationship Type="http://schemas.openxmlformats.org/officeDocument/2006/relationships/worksheet" Target="/xl/worksheets/sheet2.xml" Id="R23360d6958ef4471" /><Relationship Type="http://schemas.openxmlformats.org/officeDocument/2006/relationships/worksheet" Target="/xl/worksheets/sheet3.xml" Id="R27d24fb0503944f0" /><Relationship Type="http://schemas.openxmlformats.org/officeDocument/2006/relationships/worksheet" Target="/xl/worksheets/sheet4.xml" Id="Ra50b44aa9d0f46e4" /><Relationship Type="http://schemas.openxmlformats.org/officeDocument/2006/relationships/worksheet" Target="/xl/worksheets/sheet5.xml" Id="Rc381be0f4ce54a97" /><Relationship Type="http://schemas.openxmlformats.org/officeDocument/2006/relationships/worksheet" Target="/xl/worksheets/sheet6.xml" Id="R49a477296d7245be" /><Relationship Type="http://schemas.openxmlformats.org/officeDocument/2006/relationships/worksheet" Target="/xl/worksheets/sheet7.xml" Id="Rc1d0fcc3e07a44d2" /><Relationship Type="http://schemas.openxmlformats.org/officeDocument/2006/relationships/worksheet" Target="/xl/worksheets/sheet8.xml" Id="Rba68e7b4875c40a7" /><Relationship Type="http://schemas.openxmlformats.org/officeDocument/2006/relationships/worksheet" Target="/xl/worksheets/sheet9.xml" Id="R19ad071dc2664a5a" /><Relationship Type="http://schemas.openxmlformats.org/officeDocument/2006/relationships/worksheet" Target="/xl/worksheets/sheet10.xml" Id="R83e2225aeace4520" /><Relationship Type="http://schemas.openxmlformats.org/officeDocument/2006/relationships/worksheet" Target="/xl/worksheets/sheet11.xml" Id="Rab8cb75fb0264a92" /><Relationship Type="http://schemas.openxmlformats.org/officeDocument/2006/relationships/worksheet" Target="/xl/worksheets/sheet12.xml" Id="R82f2e7ec93b742be" /><Relationship Type="http://schemas.openxmlformats.org/officeDocument/2006/relationships/worksheet" Target="/xl/worksheets/sheet13.xml" Id="R4741db5898bb4c96" /><Relationship Type="http://schemas.openxmlformats.org/officeDocument/2006/relationships/worksheet" Target="/xl/worksheets/sheet14.xml" Id="R9f1c103a41944ccd" /><Relationship Type="http://schemas.openxmlformats.org/officeDocument/2006/relationships/worksheet" Target="/xl/worksheets/sheet15.xml" Id="R9e01eea9c103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8" hidden="0" customWidth="1"/>
  </x:cols>
  <x:sheetData>
    <x:row r="2" ht="26" customHeight="1">
      <x:c r="A2" s="2" t="str">
        <x:v>冥河，冥河！  策划调参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1" t="str">
        <x:v>使用方式</x:v>
      </x:c>
      <x:c r="B4" s="1" t="str">
        <x:v>在各参数页修改黄色 B 列，Ctrl+S 保存。</x:v>
      </x:c>
      <x:c r="C4" s="1"/>
      <x:c r="D4" s="1"/>
      <x:c r="E4" s="1"/>
      <x:c r="F4" s="1"/>
    </x:row>
    <x:row r="5" ht="30" customHeight="1">
      <x:c r="A5" s="1" t="str">
        <x:v>生效时间</x:v>
      </x:c>
      <x:c r="B5" s="1" t="str">
        <x:v>工程内重新进入关卡；写谱器重新打开谱面，或修改谱面以重建预览。</x:v>
      </x:c>
      <x:c r="C5" s="1"/>
      <x:c r="D5" s="1"/>
      <x:c r="E5" s="1"/>
      <x:c r="F5" s="1"/>
    </x:row>
    <x:row r="6" ht="30" customHeight="1">
      <x:c r="A6" s="1" t="str">
        <x:v>本局参数</x:v>
      </x:c>
      <x:c r="B6" s="1" t="str">
        <x:v>暂停恢复、定位和普通局内重试保留原参数；重新装载才读取新表。</x:v>
      </x:c>
      <x:c r="C6" s="1"/>
      <x:c r="D6" s="1"/>
      <x:c r="E6" s="1"/>
      <x:c r="F6" s="1"/>
    </x:row>
    <x:row r="7" ht="30" customHeight="1">
      <x:c r="A7" s="1" t="str">
        <x:v>默认值</x:v>
      </x:c>
      <x:c r="B7" s="1" t="str">
        <x:v>C 列是 2026-09-14 原型基线；恢复时复制 C 列，粘贴为 B 列数值。</x:v>
      </x:c>
      <x:c r="C7" s="1"/>
      <x:c r="D7" s="1"/>
      <x:c r="E7" s="1"/>
      <x:c r="F7" s="1"/>
    </x:row>
    <x:row r="8" ht="30" customHeight="1">
      <x:c r="A8" s="1" t="str">
        <x:v>比例与开关</x:v>
      </x:c>
      <x:c r="B8" s="1" t="str">
        <x:v>例如 10% 可直接输入 10% 或 0.1；关闭=0，开启=1。</x:v>
      </x:c>
      <x:c r="C8" s="1"/>
      <x:c r="D8" s="1"/>
      <x:c r="E8" s="1"/>
      <x:c r="F8" s="1"/>
    </x:row>
    <x:row r="9" ht="30" customHeight="1">
      <x:c r="A9" s="1" t="str">
        <x:v>调整建议</x:v>
      </x:c>
      <x:c r="B9" s="1" t="str">
        <x:v>区间是本项目首轮试调建议，不是行业标准或强制范围。</x:v>
      </x:c>
      <x:c r="C9" s="1"/>
      <x:c r="D9" s="1"/>
      <x:c r="E9" s="1"/>
      <x:c r="F9" s="1"/>
    </x:row>
    <x:row r="10" ht="30" customHeight="1">
      <x:c r="A10" s="1" t="str">
        <x:v>伤害与测试</x:v>
      </x:c>
      <x:c r="B10" s="1" t="str">
        <x:v>工程 s01～s08 都是不死测试关；正式 JSON 谱面默认可失败。</x:v>
      </x:c>
      <x:c r="C10" s="1"/>
      <x:c r="D10" s="1"/>
      <x:c r="E10" s="1"/>
      <x:c r="F10" s="1"/>
    </x:row>
    <x:row r="11" ht="30" customHeight="1">
      <x:c r="A11" s="1" t="str">
        <x:v>随从</x:v>
      </x:c>
      <x:c r="B11" s="1" t="str">
        <x:v>仅装备时生效；默认写谱器预览无随从。改数值不会自动改技能原文。</x:v>
      </x:c>
      <x:c r="C11" s="1"/>
      <x:c r="D11" s="1"/>
      <x:c r="E11" s="1"/>
      <x:c r="F11" s="1"/>
    </x:row>
    <x:row r="12" ht="30" customHeight="1">
      <x:c r="A12" s="1" t="str">
        <x:v>发布程序</x:v>
      </x:c>
      <x:c r="B12" s="1" t="str">
        <x:v>旧 build 尚不支持本表。下一次构建后，可放 EXE 旁 planning/策划参数.xlsx。</x:v>
      </x:c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4" t="str">
        <x:v>随当前值计算</x:v>
      </x:c>
      <x:c r="B15" s="4" t="str">
        <x:v>结果</x:v>
      </x:c>
      <x:c r="C15" s="1"/>
      <x:c r="D15" s="1"/>
      <x:c r="E15" s="1"/>
      <x:c r="F15" s="1"/>
    </x:row>
    <x:row r="16" ht="30" customHeight="1">
      <x:c r="A16" s="1" t="str">
        <x:v>无随从：耗尽魂火所需 Tap 漏击组</x:v>
      </x:c>
      <x:c r="B16" s="1" t="n">
        <x:f>IF('02 魂火与惩罚'!B7=0,"不扣血",ROUNDUP('02 魂火与惩罚'!B6/'02 魂火与惩罚'!B7,0))</x:f>
        <x:v>9</x:v>
      </x:c>
      <x:c r="C16" s="1"/>
      <x:c r="D16" s="1"/>
      <x:c r="E16" s="1"/>
      <x:c r="F16" s="1"/>
    </x:row>
    <x:row r="17" ht="30" customHeight="1">
      <x:c r="A17" s="1" t="str">
        <x:v>Perfect 完整窗口（ms）</x:v>
      </x:c>
      <x:c r="B17" s="1" t="n">
        <x:f>'01 判定与容错'!B6*2</x:f>
        <x:v>90</x:v>
      </x:c>
      <x:c r="C17" s="1"/>
      <x:c r="D17" s="1"/>
      <x:c r="E17" s="1"/>
      <x:c r="F17" s="1"/>
    </x:row>
    <x:row r="18" ht="30" customHeight="1">
      <x:c r="A18" s="1" t="str">
        <x:v>Good / Perfect 基础分比例</x:v>
      </x:c>
      <x:c r="B18" s="15" t="n">
        <x:f>IF('04 计分'!B6=0,"无基准",'04 计分'!B7/'04 计分'!B6)</x:f>
        <x:v>0.7</x:v>
      </x:c>
      <x:c r="C18" s="1"/>
      <x:c r="D18" s="1"/>
      <x:c r="E18" s="1"/>
      <x:c r="F18" s="1"/>
    </x:row>
    <x:row r="19" ht="30" customHeight="1">
      <x:c r="A19" s="1" t="str">
        <x:v>最高 Combo 倍率开始的连击数</x:v>
      </x:c>
      <x:c r="B19" s="1" t="n">
        <x:f>'04 计分'!B11+1</x:f>
        <x:v>101</x:v>
      </x:c>
      <x:c r="C19" s="1"/>
      <x:c r="D19" s="1"/>
      <x:c r="E19" s="1"/>
      <x:c r="F19" s="1"/>
    </x:row>
    <x:row r="20" ht="30" customHeight="1">
      <x:c r="A20" s="1" t="str">
        <x:v>鬼金羊基础：每组 Tap 伤害（点）</x:v>
      </x:c>
      <x:c r="B20" s="1" t="n">
        <x:f>ROUND('02 魂火与惩罚'!B7*(1-'06 随从'!B8),0)</x:f>
        <x:v>11</x:v>
      </x:c>
      <x:c r="C20" s="1"/>
      <x:c r="D20" s="1"/>
      <x:c r="E20" s="1"/>
      <x:c r="F20" s="1"/>
    </x:row>
    <x:row r="21" ht="30" customHeight="1">
      <x:c r="A21" s="1" t="str">
        <x:v>调频摇杆操作</x:v>
      </x:c>
      <x:c r="B21" s="16" t="str">
        <x:v>持续推住持续推进，推量控速，回中停止；帽面两端各外展15°仅供显示。</x:v>
      </x:c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 t="str">
        <x:v>改变频率范围、每 Hz 尺度后，原有 Tuning 角度可能超出可编排范围，需要复查谱面。</x:v>
      </x:c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 t="str">
        <x:v>详细语义、停用字段及逐关配置入口见 docs/planning/README.md。</x:v>
      </x:c>
      <x:c r="B25" s="1"/>
      <x:c r="C25" s="1"/>
      <x:c r="D25" s="1"/>
      <x:c r="E25" s="1"/>
      <x:c r="F25" s="1"/>
    </x:row>
    <x:row r="27" ht="30" customHeight="1">
      <x:c r="A27" s="1" t="str">
        <x:v>无随从：每拍 Hold 漏失身体伤害</x:v>
      </x:c>
      <x:c r="B27" s="1" t="n">
        <x:f>'02 魂火与惩罚'!B10/'02 魂火与惩罚'!B11</x:f>
        <x:v>4.8</x:v>
      </x:c>
    </x:row>
    <x:row r="28" ht="30" customHeight="1">
      <x:c r="A28" s="1" t="str">
        <x:v>无随从：漏掉两拍 Hold 的伤害</x:v>
      </x:c>
      <x:c r="B28" s="1" t="n">
        <x:f>ROUND(2*B27,0)</x:f>
        <x:v>10</x:v>
      </x:c>
    </x:row>
    <x:row r="29" ht="30" customHeight="1">
      <x:c r="A29" s="1" t="str">
        <x:v>无随从：耗尽魂火所需 Ghost 漏击数</x:v>
      </x:c>
      <x:c r="B29" s="1" t="n">
        <x:f>IF('02 魂火与惩罚'!B12=0,"不扣血",ROUNDUP('02 魂火与惩罚'!B6/'02 魂火与惩罚'!B12,0))</x:f>
        <x:v>34</x:v>
      </x:c>
    </x:row>
    <x:row r="31">
      <x:c r="A31" s="1" t="str">
        <x:v>参数增删或含义变化时同步目录和本表；同步工具按字段保留黄色当前值。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判定与容错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Perfect 时间窗</x:v>
      </x:c>
      <x:c r="B6" s="9" t="n">
        <x:v>45</x:v>
      </x:c>
      <x:c r="C6" s="10" t="n">
        <x:v>45</x:v>
      </x:c>
      <x:c r="D6" s="6" t="str">
        <x:v>ms</x:v>
      </x:c>
      <x:c r="E6" s="6" t="str">
        <x:v>30～60</x:v>
      </x:c>
      <x:c r="F6" s="10" t="n">
        <x:v>5</x:v>
      </x:c>
      <x:c r="G6" s="8" t="str">
        <x:v>Tap 与 Hold 头部共享；允许提前或延后同样的时间。越大越宽松。</x:v>
      </x:c>
      <x:c r="H6" s="6" t="str">
        <x:v>rules</x:v>
      </x:c>
      <x:c r="I6" s="6" t="str">
        <x:v>perfect_window_ms</x:v>
      </x:c>
      <x:c r="J6" s="6" t="str">
        <x:v>src/content/resources/gameplay_rule_set.gd</x:v>
      </x:c>
    </x:row>
    <x:row r="7" ht="36" customHeight="1">
      <x:c r="A7" s="6" t="str">
        <x:v>Good 时间窗</x:v>
      </x:c>
      <x:c r="B7" s="9" t="n">
        <x:v>90</x:v>
      </x:c>
      <x:c r="C7" s="10" t="n">
        <x:v>90</x:v>
      </x:c>
      <x:c r="D7" s="6" t="str">
        <x:v>ms</x:v>
      </x:c>
      <x:c r="E7" s="6" t="str">
        <x:v>60～110</x:v>
      </x:c>
      <x:c r="F7" s="10" t="n">
        <x:v>5</x:v>
      </x:c>
      <x:c r="G7" s="8" t="str">
        <x:v>超出 Perfect 后仍可获得 Good 的最大绝对误差。</x:v>
      </x:c>
      <x:c r="H7" s="6" t="str">
        <x:v>rules</x:v>
      </x:c>
      <x:c r="I7" s="6" t="str">
        <x:v>good_window_ms</x:v>
      </x:c>
      <x:c r="J7" s="6" t="str">
        <x:v>src/content/resources/gameplay_rule_set.gd</x:v>
      </x:c>
    </x:row>
    <x:row r="8" ht="36" customHeight="1">
      <x:c r="A8" s="6" t="str">
        <x:v>Pass 时间窗</x:v>
      </x:c>
      <x:c r="B8" s="9" t="n">
        <x:v>135</x:v>
      </x:c>
      <x:c r="C8" s="10" t="n">
        <x:v>135</x:v>
      </x:c>
      <x:c r="D8" s="6" t="str">
        <x:v>ms</x:v>
      </x:c>
      <x:c r="E8" s="6" t="str">
        <x:v>100～160</x:v>
      </x:c>
      <x:c r="F8" s="10" t="n">
        <x:v>5</x:v>
      </x:c>
      <x:c r="G8" s="8" t="str">
        <x:v>主动输入被接受的最外边界；不是 Miss 窗。</x:v>
      </x:c>
      <x:c r="H8" s="6" t="str">
        <x:v>rules</x:v>
      </x:c>
      <x:c r="I8" s="6" t="str">
        <x:v>pass_window_ms</x:v>
      </x:c>
      <x:c r="J8" s="6" t="str">
        <x:v>src/content/resources/gameplay_rule_set.gd</x:v>
      </x:c>
    </x:row>
    <x:row r="9" ht="36" customHeight="1">
      <x:c r="A9" s="6" t="str">
        <x:v>无人命中超时</x:v>
      </x:c>
      <x:c r="B9" s="9" t="n">
        <x:v>180</x:v>
      </x:c>
      <x:c r="C9" s="10" t="n">
        <x:v>180</x:v>
      </x:c>
      <x:c r="D9" s="6" t="str">
        <x:v>ms</x:v>
      </x:c>
      <x:c r="E9" s="6" t="str">
        <x:v>150～220</x:v>
      </x:c>
      <x:c r="F9" s="10" t="n">
        <x:v>5</x:v>
      </x:c>
      <x:c r="G9" s="8" t="str">
        <x:v>头部未命中，在判定时间之后超过该值才记 Miss。</x:v>
      </x:c>
      <x:c r="H9" s="6" t="str">
        <x:v>rules</x:v>
      </x:c>
      <x:c r="I9" s="6" t="str">
        <x:v>miss_window_ms</x:v>
      </x:c>
      <x:c r="J9" s="6" t="str">
        <x:v>src/content/resources/gameplay_rule_set.gd</x:v>
      </x:c>
    </x:row>
    <x:row r="10" ht="36" customHeight="1">
      <x:c r="A10" s="6" t="str">
        <x:v>Hold 断持宽限</x:v>
      </x:c>
      <x:c r="B10" s="9" t="n">
        <x:v>100</x:v>
      </x:c>
      <x:c r="C10" s="10" t="n">
        <x:v>100</x:v>
      </x:c>
      <x:c r="D10" s="6" t="str">
        <x:v>ms</x:v>
      </x:c>
      <x:c r="E10" s="6" t="str">
        <x:v>60～150</x:v>
      </x:c>
      <x:c r="F10" s="10" t="n">
        <x:v>10</x:v>
      </x:c>
      <x:c r="G10" s="8" t="str">
        <x:v>短暂松开可续接；超时失败并淡出关联调频条。尾点自动完成，无松尾判定。</x:v>
      </x:c>
      <x:c r="H10" s="6" t="str">
        <x:v>rules</x:v>
      </x:c>
      <x:c r="I10" s="6" t="str">
        <x:v>hold_sustain_grace_ms</x:v>
      </x:c>
      <x:c r="J10" s="6" t="str">
        <x:v>src/content/resources/gameplay_rule_set.gd</x:v>
      </x:c>
    </x:row>
  </x:sheetData>
  <x:dataValidations count="5">
    <x:dataValidation type="whole" operator="between" sqref="B6">
      <x:formula1>1</x:formula1>
      <x:formula2>500</x:formula2>
    </x:dataValidation>
    <x:dataValidation type="whole" operator="between" sqref="B7">
      <x:formula1>1</x:formula1>
      <x:formula2>500</x:formula2>
    </x:dataValidation>
    <x:dataValidation type="whole" operator="between" sqref="B8">
      <x:formula1>1</x:formula1>
      <x:formula2>500</x:formula2>
    </x:dataValidation>
    <x:dataValidation type="whole" operator="between" sqref="B9">
      <x:formula1>1</x:formula1>
      <x:formula2>1000</x:formula2>
    </x:dataValidation>
    <x:dataValidation type="whole" operator="between" sqref="B10">
      <x:formula1>1</x:formula1>
      <x:formula2>500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魂火与惩罚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开局与最大魂火</x:v>
      </x:c>
      <x:c r="B6" s="9" t="n">
        <x:v>100</x:v>
      </x:c>
      <x:c r="C6" s="10" t="n">
        <x:v>100</x:v>
      </x:c>
      <x:c r="D6" s="6" t="str">
        <x:v>点</x:v>
      </x:c>
      <x:c r="E6" s="6" t="str">
        <x:v>80～150</x:v>
      </x:c>
      <x:c r="F6" s="10" t="n">
        <x:v>10</x:v>
      </x:c>
      <x:c r="G6" s="8" t="str">
        <x:v>共享生命池；没有普通命中自动回血。</x:v>
      </x:c>
      <x:c r="H6" s="6" t="str">
        <x:v>rules</x:v>
      </x:c>
      <x:c r="I6" s="6" t="str">
        <x:v>max_soul_fire</x:v>
      </x:c>
      <x:c r="J6" s="6" t="str">
        <x:v>src/content/resources/gameplay_rule_set.gd</x:v>
      </x:c>
    </x:row>
    <x:row r="7" ht="36" customHeight="1">
      <x:c r="A7" s="6" t="str">
        <x:v>Tap 漏击伤害</x:v>
      </x:c>
      <x:c r="B7" s="9" t="n">
        <x:v>12</x:v>
      </x:c>
      <x:c r="C7" s="10" t="n">
        <x:v>12</x:v>
      </x:c>
      <x:c r="D7" s="6" t="str">
        <x:v>点</x:v>
      </x:c>
      <x:c r="E7" s="6" t="str">
        <x:v>10～25</x:v>
      </x:c>
      <x:c r="F7" s="10" t="n">
        <x:v>1</x:v>
      </x:c>
      <x:c r="G7" s="8" t="str">
        <x:v>抵达角色时扣血；同一 Tap 伤害组只扣一次。</x:v>
      </x:c>
      <x:c r="H7" s="6" t="str">
        <x:v>rules</x:v>
      </x:c>
      <x:c r="I7" s="6" t="str">
        <x:v>tap_miss_damage</x:v>
      </x:c>
      <x:c r="J7" s="6" t="str">
        <x:v>src/content/resources/gameplay_rule_set.gd</x:v>
      </x:c>
    </x:row>
    <x:row r="8" ht="36" customHeight="1">
      <x:c r="A8" s="6" t="str">
        <x:v>空按中断 Combo</x:v>
      </x:c>
      <x:c r="B8" s="9" t="n">
        <x:v>0</x:v>
      </x:c>
      <x:c r="C8" s="10" t="n">
        <x:v>0</x:v>
      </x:c>
      <x:c r="D8" s="6" t="str">
        <x:v>开关</x:v>
      </x:c>
      <x:c r="E8" s="6" t="str">
        <x:v>通常关闭</x:v>
      </x:c>
      <x:c r="F8" s="10" t="n">
        <x:v>1</x:v>
      </x:c>
      <x:c r="G8" s="8" t="str">
        <x:v>开启后没有机制消费的按下会断连；与扣血开关独立。</x:v>
      </x:c>
      <x:c r="H8" s="6" t="str">
        <x:v>rules</x:v>
      </x:c>
      <x:c r="I8" s="6" t="str">
        <x:v>stray_input_breaks_combo</x:v>
      </x:c>
      <x:c r="J8" s="6" t="str">
        <x:v>src/content/resources/gameplay_rule_set.gd</x:v>
      </x:c>
    </x:row>
    <x:row r="9" ht="36" customHeight="1">
      <x:c r="A9" s="6" t="str">
        <x:v>空按扣魂火</x:v>
      </x:c>
      <x:c r="B9" s="9" t="n">
        <x:v>0</x:v>
      </x:c>
      <x:c r="C9" s="10" t="n">
        <x:v>0</x:v>
      </x:c>
      <x:c r="D9" s="6" t="str">
        <x:v>开关</x:v>
      </x:c>
      <x:c r="E9" s="6" t="str">
        <x:v>通常关闭</x:v>
      </x:c>
      <x:c r="F9" s="10" t="n">
        <x:v>1</x:v>
      </x:c>
      <x:c r="G9" s="8" t="str">
        <x:v>开启后按独立的空按伤害扣血；不会自动打开断连。</x:v>
      </x:c>
      <x:c r="H9" s="6" t="str">
        <x:v>rules</x:v>
      </x:c>
      <x:c r="I9" s="6" t="str">
        <x:v>stray_input_damages</x:v>
      </x:c>
      <x:c r="J9" s="6" t="str">
        <x:v>src/content/resources/gameplay_rule_set.gd</x:v>
      </x:c>
    </x:row>
    <x:row r="10" ht="46" customHeight="1">
      <x:c r="A10" s="6" t="str">
        <x:v>Hold 每段身体伤害</x:v>
      </x:c>
      <x:c r="B10" s="21" t="n">
        <x:v>1.2</x:v>
      </x:c>
      <x:c r="C10" s="20" t="n">
        <x:v>1.2</x:v>
      </x:c>
      <x:c r="D10" s="6" t="str">
        <x:v>点/段</x:v>
      </x:c>
      <x:c r="E10" s="6" t="str">
        <x:v>1～4</x:v>
      </x:c>
      <x:c r="F10" s="20" t="n">
        <x:v>0.1</x:v>
      </x:c>
      <x:c r="G10" s="8" t="str">
        <x:v>未消耗身体抵达角色后按拍逐段扣血；支持小数并按漏失拍长累计取整，无额外头部或整条失败伤害。</x:v>
      </x:c>
      <x:c r="H10" s="6" t="str">
        <x:v>rules</x:v>
      </x:c>
      <x:c r="I10" s="6" t="str">
        <x:v>hold_segment_damage</x:v>
      </x:c>
      <x:c r="J10" s="6" t="str">
        <x:v>src/content/resources/gameplay_rule_set.gd</x:v>
      </x:c>
    </x:row>
    <x:row r="11" ht="46" customHeight="1">
      <x:c r="A11" s="6" t="str">
        <x:v>Hold 伤害单位拍长</x:v>
      </x:c>
      <x:c r="B11" s="21" t="n">
        <x:v>0.25</x:v>
      </x:c>
      <x:c r="C11" s="20" t="n">
        <x:v>0.25</x:v>
      </x:c>
      <x:c r="D11" s="6" t="str">
        <x:v>拍/段</x:v>
      </x:c>
      <x:c r="E11" s="6" t="str">
        <x:v>1/8～1/2</x:v>
      </x:c>
      <x:c r="F11" s="20" t="n">
        <x:v>0.0625</x:v>
      </x:c>
      <x:c r="G11" s="8" t="str">
        <x:v>1 拍为四分音符；默认 0.25 拍，变 BPM 改变间隔而不改变总伤害。</x:v>
      </x:c>
      <x:c r="H11" s="6" t="str">
        <x:v>rules</x:v>
      </x:c>
      <x:c r="I11" s="6" t="str">
        <x:v>hold_damage_segment_beats</x:v>
      </x:c>
      <x:c r="J11" s="6" t="str">
        <x:v>src/content/resources/gameplay_rule_set.gd</x:v>
      </x:c>
    </x:row>
    <x:row r="12" ht="46" customHeight="1">
      <x:c r="A12" s="6" t="str">
        <x:v>Ghost 漏击伤害</x:v>
      </x:c>
      <x:c r="B12" s="9" t="n">
        <x:v>3</x:v>
      </x:c>
      <x:c r="C12" s="10" t="n">
        <x:v>3</x:v>
      </x:c>
      <x:c r="D12" s="6" t="str">
        <x:v>点/枚</x:v>
      </x:c>
      <x:c r="E12" s="6" t="str">
        <x:v>0～6</x:v>
      </x:c>
      <x:c r="F12" s="10" t="n">
        <x:v>1</x:v>
      </x:c>
      <x:c r="G12" s="8" t="str">
        <x:v>关联调频达到 Pass 即可击破且不扣血；失败逐枚扣血并中断 Combo、FC/AP。Ghost 独立统计并计入整关命中率，不追加基础分。</x:v>
      </x:c>
      <x:c r="H12" s="6" t="str">
        <x:v>rules</x:v>
      </x:c>
      <x:c r="I12" s="6" t="str">
        <x:v>ghost_miss_damage</x:v>
      </x:c>
      <x:c r="J12" s="6" t="str">
        <x:v>src/content/resources/gameplay_rule_set.gd</x:v>
      </x:c>
    </x:row>
    <x:row r="13" ht="46" customHeight="1">
      <x:c r="A13" s="6" t="str">
        <x:v>空按伤害</x:v>
      </x:c>
      <x:c r="B13" s="9" t="n">
        <x:v>20</x:v>
      </x:c>
      <x:c r="C13" s="10" t="n">
        <x:v>20</x:v>
      </x:c>
      <x:c r="D13" s="6" t="str">
        <x:v>点/次</x:v>
      </x:c>
      <x:c r="E13" s="6" t="str">
        <x:v>5～20</x:v>
      </x:c>
      <x:c r="F13" s="10" t="n">
        <x:v>1</x:v>
      </x:c>
      <x:c r="G13" s="8" t="str">
        <x:v>仅开启空按扣魂火时使用，独立于三类音符伤害。</x:v>
      </x:c>
      <x:c r="H13" s="6" t="str">
        <x:v>rules</x:v>
      </x:c>
      <x:c r="I13" s="6" t="str">
        <x:v>stray_input_damage</x:v>
      </x:c>
      <x:c r="J13" s="6" t="str">
        <x:v>src/content/resources/gameplay_rule_set.gd</x:v>
      </x:c>
    </x:row>
  </x:sheetData>
  <x:dataValidations count="8">
    <x:dataValidation type="whole" operator="between" sqref="B6">
      <x:formula1>1</x:formula1>
      <x:formula2>1000</x:formula2>
    </x:dataValidation>
    <x:dataValidation type="whole" operator="between" sqref="B7">
      <x:formula1>0</x:formula1>
      <x:formula2>1000</x:formula2>
    </x:dataValidation>
    <x:dataValidation type="whole" operator="between" sqref="B8">
      <x:formula1>0</x:formula1>
      <x:formula2>1</x:formula2>
    </x:dataValidation>
    <x:dataValidation type="whole" operator="between" sqref="B9">
      <x:formula1>0</x:formula1>
      <x:formula2>1</x:formula2>
    </x:dataValidation>
    <x:dataValidation type="decimal" operator="between" sqref="B10">
      <x:formula1>0</x:formula1>
      <x:formula2>1000</x:formula2>
    </x:dataValidation>
    <x:dataValidation type="decimal" operator="between" sqref="B11">
      <x:formula1>0.0625</x:formula1>
      <x:formula2>4</x:formula2>
    </x:dataValidation>
    <x:dataValidation type="whole" operator="between" sqref="B12">
      <x:formula1>0</x:formula1>
      <x:formula2>1000</x:formula2>
    </x:dataValidation>
    <x:dataValidation type="whole" operator="between" sqref="B13">
      <x:formula1>0</x:formula1>
      <x:formula2>1000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调频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每程完成容错</x:v>
      </x:c>
      <x:c r="B6" s="9" t="n">
        <x:v>500</x:v>
      </x:c>
      <x:c r="C6" s="10" t="n">
        <x:v>500</x:v>
      </x:c>
      <x:c r="D6" s="6" t="str">
        <x:v>ms</x:v>
      </x:c>
      <x:c r="E6" s="6" t="str">
        <x:v>100～500</x:v>
      </x:c>
      <x:c r="F6" s="10" t="n">
        <x:v>25</x:v>
      </x:c>
      <x:c r="G6" s="8" t="str">
        <x:v>沿用原版速度基线：单程弧长除以（单程秒数−此余量）。它只调整推进速度，成绩仍在谱面尾点结算；短于余量的程会很快填满。</x:v>
      </x:c>
      <x:c r="H6" s="6" t="str">
        <x:v>rules</x:v>
      </x:c>
      <x:c r="I6" s="6" t="str">
        <x:v>tuning_speed_tolerance_ms</x:v>
      </x:c>
      <x:c r="J6" s="6" t="str">
        <x:v>src/content/resources/gameplay_rule_set.gd</x:v>
      </x:c>
    </x:row>
    <x:row r="7" ht="36" customHeight="1">
      <x:c r="A7" s="6" t="str">
        <x:v>摇杆径向死区</x:v>
      </x:c>
      <x:c r="B7" s="11" t="n">
        <x:v>0.2</x:v>
      </x:c>
      <x:c r="C7" s="12" t="n">
        <x:v>0.2</x:v>
      </x:c>
      <x:c r="D7" s="6" t="str">
        <x:v>比例</x:v>
      </x:c>
      <x:c r="E7" s="6" t="str">
        <x:v>15%～25%</x:v>
      </x:c>
      <x:c r="F7" s="12" t="n">
        <x:v>0.01</x:v>
      </x:c>
      <x:c r="G7" s="8" t="str">
        <x:v>死区内停止累积；死区外推量线性控速，沿原版游标切线投影，持续推住持续推进。引导帽面两端各外展15°仅供显示，不参与输入。</x:v>
      </x:c>
      <x:c r="H7" s="6" t="str">
        <x:v>rules</x:v>
      </x:c>
      <x:c r="I7" s="6" t="str">
        <x:v>tuning_stick_deadzone</x:v>
      </x:c>
      <x:c r="J7" s="6" t="str">
        <x:v>src/content/resources/gameplay_rule_set.gd</x:v>
      </x:c>
    </x:row>
    <x:row r="8" ht="36" customHeight="1">
      <x:c r="A8" s="6" t="str">
        <x:v>端点捕获比例</x:v>
      </x:c>
      <x:c r="B8" s="11" t="n">
        <x:v>0.03</x:v>
      </x:c>
      <x:c r="C8" s="12" t="n">
        <x:v>0.03</x:v>
      </x:c>
      <x:c r="D8" s="6" t="str">
        <x:v>比例</x:v>
      </x:c>
      <x:c r="E8" s="6" t="str">
        <x:v>1%～6%</x:v>
      </x:c>
      <x:c r="F8" s="12" t="n">
        <x:v>0.005</x:v>
      </x:c>
      <x:c r="G8" s="8" t="str">
        <x:v>端点视觉吸附与观察区，不参与 Ghost Pass 容错；Tuning 终点评分读取完成度阈值。</x:v>
      </x:c>
      <x:c r="H8" s="6" t="str">
        <x:v>rules</x:v>
      </x:c>
      <x:c r="I8" s="6" t="str">
        <x:v>tuning_endpoint_capture_ratio</x:v>
      </x:c>
      <x:c r="J8" s="6" t="str">
        <x:v>src/content/resources/gameplay_rule_set.gd</x:v>
      </x:c>
    </x:row>
    <x:row r="9" ht="36" customHeight="1">
      <x:c r="A9" s="6" t="str">
        <x:v>基准载波频率</x:v>
      </x:c>
      <x:c r="B9" s="21" t="n">
        <x:v>3</x:v>
      </x:c>
      <x:c r="C9" s="20" t="n">
        <x:v>3</x:v>
      </x:c>
      <x:c r="D9" s="6" t="str">
        <x:v>Hz</x:v>
      </x:c>
      <x:c r="E9" s="6" t="str">
        <x:v>2～4</x:v>
      </x:c>
      <x:c r="F9" s="20" t="n">
        <x:v>0.25</x:v>
      </x:c>
      <x:c r="G9" s="8" t="str">
        <x:v>普通段及调频段起始基频；影响载波疏密和 Ghost 候选。</x:v>
      </x:c>
      <x:c r="H9" s="6" t="str">
        <x:v>rules</x:v>
      </x:c>
      <x:c r="I9" s="6" t="str">
        <x:v>tuning_base_frequency_hz</x:v>
      </x:c>
      <x:c r="J9" s="6" t="str">
        <x:v>src/content/resources/gameplay_rule_set.gd</x:v>
      </x:c>
    </x:row>
    <x:row r="10" ht="36" customHeight="1">
      <x:c r="A10" s="6" t="str">
        <x:v>最低载波频率</x:v>
      </x:c>
      <x:c r="B10" s="21" t="n">
        <x:v>1</x:v>
      </x:c>
      <x:c r="C10" s="20" t="n">
        <x:v>1</x:v>
      </x:c>
      <x:c r="D10" s="6" t="str">
        <x:v>Hz</x:v>
      </x:c>
      <x:c r="E10" s="6" t="str">
        <x:v>0.5～2</x:v>
      </x:c>
      <x:c r="F10" s="20" t="n">
        <x:v>0.25</x:v>
      </x:c>
      <x:c r="G10" s="8" t="str">
        <x:v>应低于最高频率，并且不高于基频。</x:v>
      </x:c>
      <x:c r="H10" s="6" t="str">
        <x:v>rules</x:v>
      </x:c>
      <x:c r="I10" s="6" t="str">
        <x:v>tuning_min_frequency_hz</x:v>
      </x:c>
      <x:c r="J10" s="6" t="str">
        <x:v>src/content/resources/gameplay_rule_set.gd</x:v>
      </x:c>
    </x:row>
    <x:row r="11" ht="36" customHeight="1">
      <x:c r="A11" s="6" t="str">
        <x:v>最高载波频率</x:v>
      </x:c>
      <x:c r="B11" s="21" t="n">
        <x:v>7</x:v>
      </x:c>
      <x:c r="C11" s="20" t="n">
        <x:v>7</x:v>
      </x:c>
      <x:c r="D11" s="6" t="str">
        <x:v>Hz</x:v>
      </x:c>
      <x:c r="E11" s="6" t="str">
        <x:v>5～9</x:v>
      </x:c>
      <x:c r="F11" s="20" t="n">
        <x:v>0.25</x:v>
      </x:c>
      <x:c r="G11" s="8" t="str">
        <x:v>提高会增加波纹密度，并改变角度到频率的映射；需复查整谱。</x:v>
      </x:c>
      <x:c r="H11" s="6" t="str">
        <x:v>rules</x:v>
      </x:c>
      <x:c r="I11" s="6" t="str">
        <x:v>tuning_max_frequency_hz</x:v>
      </x:c>
      <x:c r="J11" s="6" t="str">
        <x:v>src/content/resources/gameplay_rule_set.gd</x:v>
      </x:c>
    </x:row>
    <x:row r="12" ht="36" customHeight="1">
      <x:c r="A12" s="6" t="str">
        <x:v>每 Hz 的编排尺度</x:v>
      </x:c>
      <x:c r="B12" s="21" t="n">
        <x:v>160</x:v>
      </x:c>
      <x:c r="C12" s="20" t="n">
        <x:v>160</x:v>
      </x:c>
      <x:c r="D12" s="6" t="str">
        <x:v>设计 px/Hz</x:v>
      </x:c>
      <x:c r="E12" s="6" t="str">
        <x:v>120～200</x:v>
      </x:c>
      <x:c r="F12" s="10" t="n">
        <x:v>10</x:v>
      </x:c>
      <x:c r="G12" s="8" t="str">
        <x:v>连接角跨度、频率跨度与鼠标位移；不是单纯改变条身尺寸。</x:v>
      </x:c>
      <x:c r="H12" s="6" t="str">
        <x:v>rules</x:v>
      </x:c>
      <x:c r="I12" s="6" t="str">
        <x:v>tuning_pixels_per_hz</x:v>
      </x:c>
      <x:c r="J12" s="6" t="str">
        <x:v>src/content/resources/gameplay_rule_set.gd</x:v>
      </x:c>
    </x:row>
    <x:row r="13" ht="36" customHeight="1">
      <x:c r="A13" s="6" t="str">
        <x:v>时间引导余量</x:v>
      </x:c>
      <x:c r="B13" s="9" t="n">
        <x:v>250</x:v>
      </x:c>
      <x:c r="C13" s="10" t="n">
        <x:v>250</x:v>
      </x:c>
      <x:c r="D13" s="6" t="str">
        <x:v>ms</x:v>
      </x:c>
      <x:c r="E13" s="6" t="str">
        <x:v>150～350</x:v>
      </x:c>
      <x:c r="F13" s="10" t="n">
        <x:v>25</x:v>
      </x:c>
      <x:c r="G13" s="8" t="str">
        <x:v>只拓展视觉引导范围，不扩大真实判定窗口。</x:v>
      </x:c>
      <x:c r="H13" s="6" t="str">
        <x:v>rules</x:v>
      </x:c>
      <x:c r="I13" s="6" t="str">
        <x:v>tuning_guide_time_window_ms</x:v>
      </x:c>
      <x:c r="J13" s="6" t="str">
        <x:v>src/content/resources/gameplay_rule_set.gd</x:v>
      </x:c>
    </x:row>
    <x:row r="14" ht="36" customHeight="1">
      <x:c r="A14" s="6" t="str">
        <x:v>空间引导余量</x:v>
      </x:c>
      <x:c r="B14" s="11" t="n">
        <x:v>0.12</x:v>
      </x:c>
      <x:c r="C14" s="12" t="n">
        <x:v>0.12</x:v>
      </x:c>
      <x:c r="D14" s="6" t="str">
        <x:v>比例</x:v>
      </x:c>
      <x:c r="E14" s="6" t="str">
        <x:v>8%～16%</x:v>
      </x:c>
      <x:c r="F14" s="12" t="n">
        <x:v>0.01</x:v>
      </x:c>
      <x:c r="G14" s="8" t="str">
        <x:v>只拓展视觉引导范围，按完整频率轴长度计算。</x:v>
      </x:c>
      <x:c r="H14" s="6" t="str">
        <x:v>rules</x:v>
      </x:c>
      <x:c r="I14" s="6" t="str">
        <x:v>tuning_spatial_margin</x:v>
      </x:c>
      <x:c r="J14" s="6" t="str">
        <x:v>src/content/resources/gameplay_rule_set.gd</x:v>
      </x:c>
    </x:row>
    <x:row r="15" ht="46" customHeight="1">
      <x:c r="A15" s="6" t="str">
        <x:v>Tuning Perfect 完成度</x:v>
      </x:c>
      <x:c r="B15" s="11" t="n">
        <x:v>0.97</x:v>
      </x:c>
      <x:c r="C15" s="12" t="n">
        <x:v>0.97</x:v>
      </x:c>
      <x:c r="D15" s="6" t="str">
        <x:v>比例</x:v>
      </x:c>
      <x:c r="E15" s="6" t="str">
        <x:v>95%～100%</x:v>
      </x:c>
      <x:c r="F15" s="12" t="n">
        <x:v>0.01</x:v>
      </x:c>
      <x:c r="G15" s="8" t="str">
        <x:v>每程规定终点时刻最低完成比例；须按住对应钟，允许提前完成。</x:v>
      </x:c>
      <x:c r="H15" s="6" t="str">
        <x:v>rules</x:v>
      </x:c>
      <x:c r="I15" s="6" t="str">
        <x:v>tuning_perfect_completion</x:v>
      </x:c>
      <x:c r="J15" s="6" t="str">
        <x:v>src/content/resources/gameplay_rule_set.gd</x:v>
      </x:c>
    </x:row>
    <x:row r="16" ht="46" customHeight="1">
      <x:c r="A16" s="6" t="str">
        <x:v>Tuning Good 完成度</x:v>
      </x:c>
      <x:c r="B16" s="11" t="n">
        <x:v>0.9</x:v>
      </x:c>
      <x:c r="C16" s="12" t="n">
        <x:v>0.9</x:v>
      </x:c>
      <x:c r="D16" s="6" t="str">
        <x:v>比例</x:v>
      </x:c>
      <x:c r="E16" s="6" t="str">
        <x:v>85%～95%</x:v>
      </x:c>
      <x:c r="F16" s="12" t="n">
        <x:v>0.01</x:v>
      </x:c>
      <x:c r="G16" s="8" t="str">
        <x:v>尾点 Good 最低完成比例；不足 Perfect 时达到此值记 Good，不增加晚到窗口。Ghost 击碎底线使用 Pass 完成度。</x:v>
      </x:c>
      <x:c r="H16" s="6" t="str">
        <x:v>rules</x:v>
      </x:c>
      <x:c r="I16" s="6" t="str">
        <x:v>tuning_good_completion</x:v>
      </x:c>
      <x:c r="J16" s="6" t="str">
        <x:v>src/content/resources/gameplay_rule_set.gd</x:v>
      </x:c>
    </x:row>
    <x:row r="17" ht="46" customHeight="1">
      <x:c r="A17" s="6" t="str">
        <x:v>Tuning Pass 完成度</x:v>
      </x:c>
      <x:c r="B17" s="11" t="n">
        <x:v>0.8</x:v>
      </x:c>
      <x:c r="C17" s="12" t="n">
        <x:v>0.8</x:v>
      </x:c>
      <x:c r="D17" s="6" t="str">
        <x:v>比例</x:v>
      </x:c>
      <x:c r="E17" s="6" t="str">
        <x:v>70%～85%</x:v>
      </x:c>
      <x:c r="F17" s="12" t="n">
        <x:v>0.01</x:v>
      </x:c>
      <x:c r="G17" s="8" t="str">
        <x:v>尾点 Pass 与 Ghost 击碎底线；中途允许落后整程的1−此值，提前有效。仍须持有；仅 Ghost 漏击扣血，关联 Hold 失败后滑条淡出。</x:v>
      </x:c>
      <x:c r="H17" s="6" t="str">
        <x:v>rules</x:v>
      </x:c>
      <x:c r="I17" s="6" t="str">
        <x:v>tuning_pass_completion</x:v>
      </x:c>
      <x:c r="J17" s="6" t="str">
        <x:v>src/content/resources/gameplay_rule_set.gd</x:v>
      </x:c>
    </x:row>
    <x:row r="18" ht="46" customHeight="1">
      <x:c r="A18" s="6" t="str">
        <x:v>摇杆推进倍率</x:v>
      </x:c>
      <x:c r="B18" s="21" t="n">
        <x:v>1.02</x:v>
      </x:c>
      <x:c r="C18" s="20" t="n">
        <x:v>1.02</x:v>
      </x:c>
      <x:c r="D18" s="6" t="str">
        <x:v>倍</x:v>
      </x:c>
      <x:c r="E18" s="6" t="str">
        <x:v>1.00～1.05</x:v>
      </x:c>
      <x:c r="F18" s="20" t="n">
        <x:v>0.01</x:v>
      </x:c>
      <x:c r="G18" s="8" t="str">
        <x:v>在原版速度公式上乘此倍率；1.02仅快2%。持续推住随时间累积，推量控制速度，回中停止。与角度对应位置无关。</x:v>
      </x:c>
      <x:c r="H18" s="6" t="str">
        <x:v>rules</x:v>
      </x:c>
      <x:c r="I18" s="6" t="str">
        <x:v>tuning_progress_speed_multiplier</x:v>
      </x:c>
      <x:c r="J18" s="6" t="str">
        <x:v>src/content/resources/gameplay_rule_set.gd</x:v>
      </x:c>
    </x:row>
    <x:row r="19" ht="46" customHeight="1">
      <x:c r="A19" s="6" t="str">
        <x:v>已停用：摇杆角度助推</x:v>
      </x:c>
      <x:c r="B19" s="142" t="n">
        <x:v>1.03</x:v>
      </x:c>
      <x:c r="C19" s="20" t="n">
        <x:v>1.03</x:v>
      </x:c>
      <x:c r="D19" s="6" t="str">
        <x:v>倍</x:v>
      </x:c>
      <x:c r="E19" s="6" t="str">
        <x:v>1.00～1.05</x:v>
      </x:c>
      <x:c r="F19" s="20" t="n">
        <x:v>0.01</x:v>
      </x:c>
      <x:c r="G19" s="8" t="str">
        <x:v>已恢复速度累积。旧角度助推不再生效，使用摇杆推进倍率。</x:v>
      </x:c>
      <x:c r="H19" s="6" t="str"/>
      <x:c r="I19" s="6" t="str"/>
      <x:c r="J19" s="6" t="str">
        <x:v>src/content/resources/gameplay_rule_set.gd</x:v>
      </x:c>
    </x:row>
  </x:sheetData>
  <x:dataValidations count="14">
    <x:dataValidation type="whole" operator="between" sqref="B6">
      <x:formula1>0</x:formula1>
      <x:formula2>2000</x:formula2>
    </x:dataValidation>
    <x:dataValidation type="decimal" operator="between" sqref="B7">
      <x:formula1>0</x:formula1>
      <x:formula2>0.9</x:formula2>
    </x:dataValidation>
    <x:dataValidation type="decimal" operator="between" sqref="B8">
      <x:formula1>0.001</x:formula1>
      <x:formula2>0.25</x:formula2>
    </x:dataValidation>
    <x:dataValidation type="decimal" operator="between" sqref="B9">
      <x:formula1>0.1</x:formula1>
      <x:formula2>30</x:formula2>
    </x:dataValidation>
    <x:dataValidation type="decimal" operator="between" sqref="B10">
      <x:formula1>0.1</x:formula1>
      <x:formula2>30</x:formula2>
    </x:dataValidation>
    <x:dataValidation type="decimal" operator="between" sqref="B11">
      <x:formula1>0.1</x:formula1>
      <x:formula2>30</x:formula2>
    </x:dataValidation>
    <x:dataValidation type="decimal" operator="between" sqref="B12">
      <x:formula1>1</x:formula1>
      <x:formula2>1000</x:formula2>
    </x:dataValidation>
    <x:dataValidation type="whole" operator="between" sqref="B13">
      <x:formula1>0</x:formula1>
      <x:formula2>500</x:formula2>
    </x:dataValidation>
    <x:dataValidation type="decimal" operator="between" sqref="B14">
      <x:formula1>0</x:formula1>
      <x:formula2>0.5</x:formula2>
    </x:dataValidation>
    <x:dataValidation type="decimal" operator="between" sqref="B15">
      <x:formula1>0</x:formula1>
      <x:formula2>1</x:formula2>
    </x:dataValidation>
    <x:dataValidation type="decimal" operator="between" sqref="B16">
      <x:formula1>0</x:formula1>
      <x:formula2>1</x:formula2>
    </x:dataValidation>
    <x:dataValidation type="decimal" operator="between" sqref="B17">
      <x:formula1>0</x:formula1>
      <x:formula2>1</x:formula2>
    </x:dataValidation>
    <x:dataValidation type="decimal" operator="between" sqref="B18">
      <x:formula1>1</x:formula1>
      <x:formula2>1.1</x:formula2>
    </x:dataValidation>
    <x:dataValidation type="decimal" operator="between" sqref="B19">
      <x:formula1>1</x:formula1>
      <x:formula2>1.1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计分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Perfect 基础分</x:v>
      </x:c>
      <x:c r="B6" s="9" t="n">
        <x:v>1000</x:v>
      </x:c>
      <x:c r="C6" s="10" t="n">
        <x:v>1000</x:v>
      </x:c>
      <x:c r="D6" s="6" t="str">
        <x:v>分</x:v>
      </x:c>
      <x:c r="E6" s="6" t="str">
        <x:v>保持 1000 为基准</x:v>
      </x:c>
      <x:c r="F6" s="10" t="n">
        <x:v>100</x:v>
      </x:c>
      <x:c r="G6" s="8" t="str">
        <x:v>按判定单位计分；Hold 整条为一个单位，不按秒连续给分。</x:v>
      </x:c>
      <x:c r="H6" s="6" t="str">
        <x:v>rules</x:v>
      </x:c>
      <x:c r="I6" s="6" t="str">
        <x:v>perfect_score</x:v>
      </x:c>
      <x:c r="J6" s="6" t="str">
        <x:v>src/content/resources/gameplay_rule_set.gd</x:v>
      </x:c>
    </x:row>
    <x:row r="7" ht="36" customHeight="1">
      <x:c r="A7" s="6" t="str">
        <x:v>Good 基础分</x:v>
      </x:c>
      <x:c r="B7" s="9" t="n">
        <x:v>700</x:v>
      </x:c>
      <x:c r="C7" s="10" t="n">
        <x:v>700</x:v>
      </x:c>
      <x:c r="D7" s="6" t="str">
        <x:v>分</x:v>
      </x:c>
      <x:c r="E7" s="6" t="str">
        <x:v>Perfect 的 60%～80%</x:v>
      </x:c>
      <x:c r="F7" s="10" t="n">
        <x:v>50</x:v>
      </x:c>
      <x:c r="G7" s="8" t="str">
        <x:v>再乘当前 Combo 倍率。</x:v>
      </x:c>
      <x:c r="H7" s="6" t="str">
        <x:v>rules</x:v>
      </x:c>
      <x:c r="I7" s="6" t="str">
        <x:v>good_score</x:v>
      </x:c>
      <x:c r="J7" s="6" t="str">
        <x:v>src/content/resources/gameplay_rule_set.gd</x:v>
      </x:c>
    </x:row>
    <x:row r="8" ht="36" customHeight="1">
      <x:c r="A8" s="6" t="str">
        <x:v>Pass 基础分</x:v>
      </x:c>
      <x:c r="B8" s="9" t="n">
        <x:v>400</x:v>
      </x:c>
      <x:c r="C8" s="10" t="n">
        <x:v>400</x:v>
      </x:c>
      <x:c r="D8" s="6" t="str">
        <x:v>分</x:v>
      </x:c>
      <x:c r="E8" s="6" t="str">
        <x:v>Perfect 的 30%～50%</x:v>
      </x:c>
      <x:c r="F8" s="10" t="n">
        <x:v>50</x:v>
      </x:c>
      <x:c r="G8" s="8" t="str">
        <x:v>必须大于零；再乘当前 Combo 倍率。</x:v>
      </x:c>
      <x:c r="H8" s="6" t="str">
        <x:v>rules</x:v>
      </x:c>
      <x:c r="I8" s="6" t="str">
        <x:v>pass_score</x:v>
      </x:c>
      <x:c r="J8" s="6" t="str">
        <x:v>src/content/resources/gameplay_rule_set.gd</x:v>
      </x:c>
    </x:row>
    <x:row r="9" ht="36" customHeight="1">
      <x:c r="A9" s="6" t="str">
        <x:v>Miss 基础分</x:v>
      </x:c>
      <x:c r="B9" s="9" t="n">
        <x:v>0</x:v>
      </x:c>
      <x:c r="C9" s="10" t="n">
        <x:v>0</x:v>
      </x:c>
      <x:c r="D9" s="6" t="str">
        <x:v>分</x:v>
      </x:c>
      <x:c r="E9" s="6" t="str">
        <x:v>通常为 0</x:v>
      </x:c>
      <x:c r="F9" s="10" t="n">
        <x:v>1</x:v>
      </x:c>
      <x:c r="G9" s="8" t="str">
        <x:v>Miss 会清零 Combo；不乘 Combo 倍率。</x:v>
      </x:c>
      <x:c r="H9" s="6" t="str">
        <x:v>rules</x:v>
      </x:c>
      <x:c r="I9" s="6" t="str">
        <x:v>miss_score</x:v>
      </x:c>
      <x:c r="J9" s="6" t="str">
        <x:v>src/content/resources/gameplay_rule_set.gd</x:v>
      </x:c>
    </x:row>
    <x:row r="10" ht="36" customHeight="1">
      <x:c r="A10" s="6" t="str">
        <x:v>最高 Combo 倍率</x:v>
      </x:c>
      <x:c r="B10" s="21" t="n">
        <x:v>2</x:v>
      </x:c>
      <x:c r="C10" s="20" t="n">
        <x:v>2</x:v>
      </x:c>
      <x:c r="D10" s="6" t="str">
        <x:v>倍</x:v>
      </x:c>
      <x:c r="E10" s="6" t="str">
        <x:v>1～2</x:v>
      </x:c>
      <x:c r="F10" s="20" t="n">
        <x:v>0.1</x:v>
      </x:c>
      <x:c r="G10" s="8" t="str">
        <x:v>从 1 倍线性爬升；高连击影响总分权重。</x:v>
      </x:c>
      <x:c r="H10" s="6" t="str">
        <x:v>rules</x:v>
      </x:c>
      <x:c r="I10" s="6" t="str">
        <x:v>max_combo_multiplier</x:v>
      </x:c>
      <x:c r="J10" s="6" t="str">
        <x:v>src/content/resources/gameplay_rule_set.gd</x:v>
      </x:c>
    </x:row>
    <x:row r="11" ht="36" customHeight="1">
      <x:c r="A11" s="6" t="str">
        <x:v>倍率爬升步数</x:v>
      </x:c>
      <x:c r="B11" s="9" t="n">
        <x:v>100</x:v>
      </x:c>
      <x:c r="C11" s="10" t="n">
        <x:v>100</x:v>
      </x:c>
      <x:c r="D11" s="6" t="str">
        <x:v>次</x:v>
      </x:c>
      <x:c r="E11" s="6" t="str">
        <x:v>50～150</x:v>
      </x:c>
      <x:c r="F11" s="10" t="n">
        <x:v>10</x:v>
      </x:c>
      <x:c r="G11" s="8" t="str">
        <x:v>倍率按 (Combo−1)/步数计算；默认第 101 连达到上限。</x:v>
      </x:c>
      <x:c r="H11" s="6" t="str">
        <x:v>rules</x:v>
      </x:c>
      <x:c r="I11" s="6" t="str">
        <x:v>combo_steps_to_max</x:v>
      </x:c>
      <x:c r="J11" s="6" t="str">
        <x:v>src/content/resources/gameplay_rule_set.gd</x:v>
      </x:c>
    </x:row>
  </x:sheetData>
  <x:dataValidations count="6">
    <x:dataValidation type="whole" operator="between" sqref="B6">
      <x:formula1>0</x:formula1>
      <x:formula2>100000</x:formula2>
    </x:dataValidation>
    <x:dataValidation type="whole" operator="between" sqref="B7">
      <x:formula1>0</x:formula1>
      <x:formula2>100000</x:formula2>
    </x:dataValidation>
    <x:dataValidation type="whole" operator="between" sqref="B8">
      <x:formula1>1</x:formula1>
      <x:formula2>100000</x:formula2>
    </x:dataValidation>
    <x:dataValidation type="whole" operator="between" sqref="B9">
      <x:formula1>0</x:formula1>
      <x:formula2>100000</x:formula2>
    </x:dataValidation>
    <x:dataValidation type="decimal" operator="between" sqref="B10">
      <x:formula1>0</x:formula1>
      <x:formula2>10</x:formula2>
    </x:dataValidation>
    <x:dataValidation type="whole" operator="between" sqref="B11">
      <x:formula1>1</x:formula1>
      <x:formula2>500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读谱与声波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音符接近时间</x:v>
      </x:c>
      <x:c r="B6" s="21" t="n">
        <x:v>2.25</x:v>
      </x:c>
      <x:c r="C6" s="20" t="n">
        <x:v>2.25</x:v>
      </x:c>
      <x:c r="D6" s="6" t="str">
        <x:v>s</x:v>
      </x:c>
      <x:c r="E6" s="6" t="str">
        <x:v>1.5～3</x:v>
      </x:c>
      <x:c r="F6" s="20" t="n">
        <x:v>0.1</x:v>
      </x:c>
      <x:c r="G6" s="8" t="str">
        <x:v>普通音符从生成到判定点的时间；调频整组预告取其64%（默认1.44秒），大圈与滑条同步出现。</x:v>
      </x:c>
      <x:c r="H6" s="6" t="str">
        <x:v>rules</x:v>
      </x:c>
      <x:c r="I6" s="6" t="str">
        <x:v>approach_duration_sec</x:v>
      </x:c>
      <x:c r="J6" s="6" t="str">
        <x:v>src/content/resources/gameplay_rule_set.gd</x:v>
      </x:c>
    </x:row>
    <x:row r="7" ht="36" customHeight="1">
      <x:c r="A7" s="6" t="str">
        <x:v>声波传播速度</x:v>
      </x:c>
      <x:c r="B7" s="21" t="n">
        <x:v>2400</x:v>
      </x:c>
      <x:c r="C7" s="20" t="n">
        <x:v>2400</x:v>
      </x:c>
      <x:c r="D7" s="6" t="str">
        <x:v>设计 px/s</x:v>
      </x:c>
      <x:c r="E7" s="6" t="str">
        <x:v>1800～3000</x:v>
      </x:c>
      <x:c r="F7" s="10" t="n">
        <x:v>100</x:v>
      </x:c>
      <x:c r="G7" s="8" t="str">
        <x:v>影响实际接触、载波间距与 Ghost 选点；不改变按键时间窗。</x:v>
      </x:c>
      <x:c r="H7" s="6" t="str">
        <x:v>rules</x:v>
      </x:c>
      <x:c r="I7" s="6" t="str">
        <x:v>wave_speed_px_sec</x:v>
      </x:c>
      <x:c r="J7" s="6" t="str">
        <x:v>src/content/resources/gameplay_rule_set.gd</x:v>
      </x:c>
    </x:row>
    <x:row r="8" ht="46" customHeight="1">
      <x:c r="A8" s="6" t="str">
        <x:v>Ghost 额外预告</x:v>
      </x:c>
      <x:c r="B8" s="21" t="n">
        <x:v>0.45</x:v>
      </x:c>
      <x:c r="C8" s="20" t="n">
        <x:v>0.45</x:v>
      </x:c>
      <x:c r="D8" s="6" t="str">
        <x:v>s</x:v>
      </x:c>
      <x:c r="E8" s="6" t="str">
        <x:v>0.2～0.8</x:v>
      </x:c>
      <x:c r="F8" s="20" t="n">
        <x:v>0.05</x:v>
      </x:c>
      <x:c r="G8" s="8" t="str">
        <x:v>在普通接近时间前额外显示闭眼 Ghost；同步提前固定预测位置的取样边界，不改变结算时刻、调频评分或伤害。</x:v>
      </x:c>
      <x:c r="H8" s="6" t="str">
        <x:v>rules</x:v>
      </x:c>
      <x:c r="I8" s="6" t="str">
        <x:v>ghost_preview_extra_sec</x:v>
      </x:c>
      <x:c r="J8" s="6" t="str">
        <x:v>src/content/resources/gameplay_rule_set.gd</x:v>
      </x:c>
    </x:row>
  </x:sheetData>
  <x:dataValidations count="3">
    <x:dataValidation type="decimal" operator="between" sqref="B6">
      <x:formula1>0.1</x:formula1>
      <x:formula2>10</x:formula2>
    </x:dataValidation>
    <x:dataValidation type="decimal" operator="between" sqref="B7">
      <x:formula1>10</x:formula1>
      <x:formula2>4000</x:formula2>
    </x:dataValidation>
    <x:dataValidation type="decimal" operator="between" sqref="B8">
      <x:formula1>0</x:formula1>
      <x:formula2>2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 ht="26" customHeight="1">
      <x:c r="A2" s="2" t="str">
        <x:v>随从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参数</x:v>
      </x:c>
      <x:c r="B5" s="5" t="str">
        <x:v>当前值</x:v>
      </x:c>
      <x:c r="C5" s="5" t="str">
        <x:v>原型默认</x:v>
      </x:c>
      <x:c r="D5" s="5" t="str">
        <x:v>单位</x:v>
      </x:c>
      <x:c r="E5" s="5" t="str">
        <x:v>建议试调区间</x:v>
      </x:c>
      <x:c r="F5" s="5" t="str">
        <x:v>每次建议改动</x:v>
      </x:c>
      <x:c r="G5" s="5" t="str">
        <x:v>作用与注意事项</x:v>
      </x:c>
      <x:c r="H5" s="5" t="str">
        <x:v>配置对象</x:v>
      </x:c>
      <x:c r="I5" s="5" t="str">
        <x:v>字段名</x:v>
      </x:c>
      <x:c r="J5" s="5" t="str">
        <x:v>来源（Game 内）</x:v>
      </x:c>
    </x:row>
    <x:row r="6" ht="36" customHeight="1">
      <x:c r="A6" s="6" t="str">
        <x:v>女土蝠·基础 得分加成</x:v>
      </x:c>
      <x:c r="B6" s="11" t="n">
        <x:v>0.02</x:v>
      </x:c>
      <x:c r="C6" s="12" t="n">
        <x:v>0.02</x:v>
      </x:c>
      <x:c r="D6" s="6" t="str">
        <x:v>比例</x:v>
      </x:c>
      <x:c r="E6" s="6" t="str">
        <x:v>1%～5%</x:v>
      </x:c>
      <x:c r="F6" s="12" t="n">
        <x:v>0.005</x:v>
      </x:c>
      <x:c r="G6" s="8" t="str">
        <x:v>对含 Combo 的 Perfect 分累计奖励，最后累计取整。</x:v>
      </x:c>
      <x:c r="H6" s="6" t="str">
        <x:v>pet:nu_tu_fu:base</x:v>
      </x:c>
      <x:c r="I6" s="6" t="str">
        <x:v>perfect_score_bonus</x:v>
      </x:c>
      <x:c r="J6" s="6" t="str">
        <x:v>content/pets/pet_nu_tu_fu.tres</x:v>
      </x:c>
    </x:row>
    <x:row r="7" ht="36" customHeight="1">
      <x:c r="A7" s="6" t="str">
        <x:v>女土蝠·进阶 得分加成</x:v>
      </x:c>
      <x:c r="B7" s="11" t="n">
        <x:v>0.03</x:v>
      </x:c>
      <x:c r="C7" s="12" t="n">
        <x:v>0.03</x:v>
      </x:c>
      <x:c r="D7" s="6" t="str">
        <x:v>比例</x:v>
      </x:c>
      <x:c r="E7" s="6" t="str">
        <x:v>1%～5%</x:v>
      </x:c>
      <x:c r="F7" s="12" t="n">
        <x:v>0.005</x:v>
      </x:c>
      <x:c r="G7" s="8" t="str">
        <x:v>对含 Combo 的 Perfect 分累计奖励，最后累计取整。</x:v>
      </x:c>
      <x:c r="H7" s="6" t="str">
        <x:v>pet:nu_tu_fu:advanced</x:v>
      </x:c>
      <x:c r="I7" s="6" t="str">
        <x:v>perfect_score_bonus</x:v>
      </x:c>
      <x:c r="J7" s="6" t="str">
        <x:v>content/pets/pet_nu_tu_fu.tres</x:v>
      </x:c>
    </x:row>
    <x:row r="8" ht="36" customHeight="1">
      <x:c r="A8" s="6" t="str">
        <x:v>鬼金羊·基础 减伤</x:v>
      </x:c>
      <x:c r="B8" s="11" t="n">
        <x:v>0.1</x:v>
      </x:c>
      <x:c r="C8" s="12" t="n">
        <x:v>0.1</x:v>
      </x:c>
      <x:c r="D8" s="6" t="str">
        <x:v>比例</x:v>
      </x:c>
      <x:c r="E8" s="6" t="str">
        <x:v>5%～25%</x:v>
      </x:c>
      <x:c r="F8" s="12" t="n">
        <x:v>0.05</x:v>
      </x:c>
      <x:c r="G8" s="8" t="str">
        <x:v>基础伤害乘 (1−减免比例) 后取整。</x:v>
      </x:c>
      <x:c r="H8" s="6" t="str">
        <x:v>pet:gui_jin_yang:base</x:v>
      </x:c>
      <x:c r="I8" s="6" t="str">
        <x:v>damage_reduction</x:v>
      </x:c>
      <x:c r="J8" s="6" t="str">
        <x:v>content/pets/pet_gui_jin_yang.tres</x:v>
      </x:c>
    </x:row>
    <x:row r="9" ht="36" customHeight="1">
      <x:c r="A9" s="6" t="str">
        <x:v>鬼金羊·进阶 减伤</x:v>
      </x:c>
      <x:c r="B9" s="11" t="n">
        <x:v>0.2</x:v>
      </x:c>
      <x:c r="C9" s="12" t="n">
        <x:v>0.2</x:v>
      </x:c>
      <x:c r="D9" s="6" t="str">
        <x:v>比例</x:v>
      </x:c>
      <x:c r="E9" s="6" t="str">
        <x:v>5%～25%</x:v>
      </x:c>
      <x:c r="F9" s="12" t="n">
        <x:v>0.05</x:v>
      </x:c>
      <x:c r="G9" s="8" t="str">
        <x:v>基础伤害乘 (1−减免比例) 后取整。</x:v>
      </x:c>
      <x:c r="H9" s="6" t="str">
        <x:v>pet:gui_jin_yang:advanced</x:v>
      </x:c>
      <x:c r="I9" s="6" t="str">
        <x:v>damage_reduction</x:v>
      </x:c>
      <x:c r="J9" s="6" t="str">
        <x:v>content/pets/pet_gui_jin_yang.tres</x:v>
      </x:c>
    </x:row>
    <x:row r="10" ht="36" customHeight="1">
      <x:c r="A10" s="6" t="str">
        <x:v>翼火蛇·基础 头部宽限</x:v>
      </x:c>
      <x:c r="B10" s="9" t="n">
        <x:v>10</x:v>
      </x:c>
      <x:c r="C10" s="10" t="n">
        <x:v>10</x:v>
      </x:c>
      <x:c r="D10" s="6" t="str">
        <x:v>ms</x:v>
      </x:c>
      <x:c r="E10" s="6" t="str">
        <x:v>5～20</x:v>
      </x:c>
      <x:c r="F10" s="10" t="n">
        <x:v>5</x:v>
      </x:c>
      <x:c r="G10" s="8" t="str">
        <x:v>只给 Hold 头部四档窗口追加同样毫秒数。</x:v>
      </x:c>
      <x:c r="H10" s="6" t="str">
        <x:v>pet:yi_huo_she:base</x:v>
      </x:c>
      <x:c r="I10" s="6" t="str">
        <x:v>hold_head_bonus_ms</x:v>
      </x:c>
      <x:c r="J10" s="6" t="str">
        <x:v>content/pets/pet_yi_huo_she.tres</x:v>
      </x:c>
    </x:row>
    <x:row r="11" ht="36" customHeight="1">
      <x:c r="A11" s="6" t="str">
        <x:v>翼火蛇·进阶 头部宽限</x:v>
      </x:c>
      <x:c r="B11" s="9" t="n">
        <x:v>10</x:v>
      </x:c>
      <x:c r="C11" s="10" t="n">
        <x:v>10</x:v>
      </x:c>
      <x:c r="D11" s="6" t="str">
        <x:v>ms</x:v>
      </x:c>
      <x:c r="E11" s="6" t="str">
        <x:v>5～20</x:v>
      </x:c>
      <x:c r="F11" s="10" t="n">
        <x:v>5</x:v>
      </x:c>
      <x:c r="G11" s="8" t="str">
        <x:v>只给 Hold 头部四档窗口追加同样毫秒数。</x:v>
      </x:c>
      <x:c r="H11" s="6" t="str">
        <x:v>pet:yi_huo_she:advanced</x:v>
      </x:c>
      <x:c r="I11" s="6" t="str">
        <x:v>hold_head_bonus_ms</x:v>
      </x:c>
      <x:c r="J11" s="6" t="str">
        <x:v>content/pets/pet_yi_huo_she.tres</x:v>
      </x:c>
    </x:row>
    <x:row r="12" ht="36" customHeight="1">
      <x:c r="A12" s="6" t="str">
        <x:v>翼火蛇·基础 断持宽限</x:v>
      </x:c>
      <x:c r="B12" s="9" t="n">
        <x:v>20</x:v>
      </x:c>
      <x:c r="C12" s="10" t="n">
        <x:v>20</x:v>
      </x:c>
      <x:c r="D12" s="6" t="str">
        <x:v>ms</x:v>
      </x:c>
      <x:c r="E12" s="6" t="str">
        <x:v>10～40</x:v>
      </x:c>
      <x:c r="F12" s="10" t="n">
        <x:v>10</x:v>
      </x:c>
      <x:c r="G12" s="8" t="str">
        <x:v>追加 Hold 断持宽限。</x:v>
      </x:c>
      <x:c r="H12" s="6" t="str">
        <x:v>pet:yi_huo_she:base</x:v>
      </x:c>
      <x:c r="I12" s="6" t="str">
        <x:v>hold_sustain_bonus_ms</x:v>
      </x:c>
      <x:c r="J12" s="6" t="str">
        <x:v>content/pets/pet_yi_huo_she.tres</x:v>
      </x:c>
    </x:row>
    <x:row r="13" ht="36" customHeight="1">
      <x:c r="A13" s="6" t="str">
        <x:v>翼火蛇·进阶 断持宽限</x:v>
      </x:c>
      <x:c r="B13" s="9" t="n">
        <x:v>20</x:v>
      </x:c>
      <x:c r="C13" s="10" t="n">
        <x:v>20</x:v>
      </x:c>
      <x:c r="D13" s="6" t="str">
        <x:v>ms</x:v>
      </x:c>
      <x:c r="E13" s="6" t="str">
        <x:v>10～40</x:v>
      </x:c>
      <x:c r="F13" s="10" t="n">
        <x:v>10</x:v>
      </x:c>
      <x:c r="G13" s="8" t="str">
        <x:v>追加 Hold 断持宽限。</x:v>
      </x:c>
      <x:c r="H13" s="6" t="str">
        <x:v>pet:yi_huo_she:advanced</x:v>
      </x:c>
      <x:c r="I13" s="6" t="str">
        <x:v>hold_sustain_bonus_ms</x:v>
      </x:c>
      <x:c r="J13" s="6" t="str">
        <x:v>content/pets/pet_yi_huo_she.tres</x:v>
      </x:c>
    </x:row>
    <x:row r="14" ht="36" customHeight="1">
      <x:c r="A14" s="6" t="str">
        <x:v>翼火蛇·基础 判定提升</x:v>
      </x:c>
      <x:c r="B14" s="9" t="n">
        <x:v>0</x:v>
      </x:c>
      <x:c r="C14" s="10" t="n">
        <x:v>0</x:v>
      </x:c>
      <x:c r="D14" s="6" t="str">
        <x:v>级</x:v>
      </x:c>
      <x:c r="E14" s="6" t="str">
        <x:v>0 或 1</x:v>
      </x:c>
      <x:c r="F14" s="10" t="n">
        <x:v>1</x:v>
      </x:c>
      <x:c r="G14" s="8" t="str">
        <x:v>整条 Hold 最终得分等级提升；机械失败与伤害不被免除。</x:v>
      </x:c>
      <x:c r="H14" s="6" t="str">
        <x:v>pet:yi_huo_she:base</x:v>
      </x:c>
      <x:c r="I14" s="6" t="str">
        <x:v>hold_grade_boost</x:v>
      </x:c>
      <x:c r="J14" s="6" t="str">
        <x:v>content/pets/pet_yi_huo_she.tres</x:v>
      </x:c>
    </x:row>
    <x:row r="15" ht="36" customHeight="1">
      <x:c r="A15" s="6" t="str">
        <x:v>翼火蛇·进阶 判定提升</x:v>
      </x:c>
      <x:c r="B15" s="9" t="n">
        <x:v>1</x:v>
      </x:c>
      <x:c r="C15" s="10" t="n">
        <x:v>1</x:v>
      </x:c>
      <x:c r="D15" s="6" t="str">
        <x:v>级</x:v>
      </x:c>
      <x:c r="E15" s="6" t="str">
        <x:v>0 或 1</x:v>
      </x:c>
      <x:c r="F15" s="10" t="n">
        <x:v>1</x:v>
      </x:c>
      <x:c r="G15" s="8" t="str">
        <x:v>整条 Hold 最终得分等级提升；机械失败与伤害不被免除。</x:v>
      </x:c>
      <x:c r="H15" s="6" t="str">
        <x:v>pet:yi_huo_she:advanced</x:v>
      </x:c>
      <x:c r="I15" s="6" t="str">
        <x:v>hold_grade_boost</x:v>
      </x:c>
      <x:c r="J15" s="6" t="str">
        <x:v>content/pets/pet_yi_huo_she.tres</x:v>
      </x:c>
    </x:row>
  </x:sheetData>
  <x:dataValidations count="10">
    <x:dataValidation type="decimal" operator="between" sqref="B6">
      <x:formula1>0</x:formula1>
      <x:formula2>1</x:formula2>
    </x:dataValidation>
    <x:dataValidation type="decimal" operator="between" sqref="B7">
      <x:formula1>0</x:formula1>
      <x:formula2>1</x:formula2>
    </x:dataValidation>
    <x:dataValidation type="decimal" operator="between" sqref="B8">
      <x:formula1>0</x:formula1>
      <x:formula2>1</x:formula2>
    </x:dataValidation>
    <x:dataValidation type="decimal" operator="between" sqref="B9">
      <x:formula1>0</x:formula1>
      <x:formula2>1</x:formula2>
    </x:dataValidation>
    <x:dataValidation type="whole" operator="between" sqref="B10">
      <x:formula1>0</x:formula1>
      <x:formula2>100</x:formula2>
    </x:dataValidation>
    <x:dataValidation type="whole" operator="between" sqref="B11">
      <x:formula1>0</x:formula1>
      <x:formula2>100</x:formula2>
    </x:dataValidation>
    <x:dataValidation type="whole" operator="between" sqref="B12">
      <x:formula1>0</x:formula1>
      <x:formula2>200</x:formula2>
    </x:dataValidation>
    <x:dataValidation type="whole" operator="between" sqref="B13">
      <x:formula1>0</x:formula1>
      <x:formula2>200</x:formula2>
    </x:dataValidation>
    <x:dataValidation type="whole" operator="between" sqref="B14">
      <x:formula1>0</x:formula1>
      <x:formula2>3</x:formula2>
    </x:dataValidation>
    <x:dataValidation type="whole" operator="between" sqref="B15">
      <x:formula1>0</x:formula1>
      <x:formula2>3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分界线表现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23" t="str">
        <x:v>参数</x:v>
      </x:c>
      <x:c r="B5" s="23" t="str">
        <x:v>当前值</x:v>
      </x:c>
      <x:c r="C5" s="23" t="str">
        <x:v>原型默认</x:v>
      </x:c>
      <x:c r="D5" s="23" t="str">
        <x:v>单位</x:v>
      </x:c>
      <x:c r="E5" s="23" t="str">
        <x:v>建议试调区间</x:v>
      </x:c>
      <x:c r="F5" s="23" t="str">
        <x:v>每次建议改动</x:v>
      </x:c>
      <x:c r="G5" s="23" t="str">
        <x:v>作用与注意事项</x:v>
      </x:c>
      <x:c r="H5" s="23" t="str">
        <x:v>配置对象</x:v>
      </x:c>
      <x:c r="I5" s="23" t="str">
        <x:v>字段名</x:v>
      </x:c>
      <x:c r="J5" s="23" t="str">
        <x:v>来源（Game 内）</x:v>
      </x:c>
    </x:row>
    <x:row r="6" ht="46" customHeight="1">
      <x:c r="A6" s="6" t="str">
        <x:v>波浪动画</x:v>
      </x:c>
      <x:c r="B6" s="9" t="n">
        <x:v>1</x:v>
      </x:c>
      <x:c r="C6" s="10" t="n">
        <x:v>1</x:v>
      </x:c>
      <x:c r="D6" s="6" t="str">
        <x:v>开关</x:v>
      </x:c>
      <x:c r="E6" s="6" t="str">
        <x:v>开启</x:v>
      </x:c>
      <x:c r="F6" s="10" t="n">
        <x:v>1</x:v>
      </x:c>
      <x:c r="G6" s="8" t="str">
        <x:v>关闭后原画静止；只影响背景表现。</x:v>
      </x:c>
      <x:c r="H6" s="6" t="str">
        <x:v>boundary</x:v>
      </x:c>
      <x:c r="I6" s="6" t="str">
        <x:v>enabled</x:v>
      </x:c>
      <x:c r="J6" s="6" t="str">
        <x:v>src/content/resources/boundary_motion_style.gd</x:v>
      </x:c>
    </x:row>
    <x:row r="7" ht="46" customHeight="1">
      <x:c r="A7" s="6" t="str">
        <x:v>已停用：缓流周期</x:v>
      </x:c>
      <x:c r="B7" s="117" t="n">
        <x:v>6</x:v>
      </x:c>
      <x:c r="C7" s="20" t="n">
        <x:v>6</x:v>
      </x:c>
      <x:c r="D7" s="6" t="str">
        <x:v>s</x:v>
      </x:c>
      <x:c r="E7" s="6" t="str">
        <x:v>5～8</x:v>
      </x:c>
      <x:c r="F7" s="20" t="n">
        <x:v>0.1</x:v>
      </x:c>
      <x:c r="G7" s="8" t="str">
        <x:v>一轮抬浪、回卷、舒展的总时长；换景保持歌曲相位。</x:v>
      </x:c>
      <x:c r="H7" s="6" t="str"/>
      <x:c r="I7" s="6" t="str"/>
      <x:c r="J7" s="6" t="str">
        <x:v>src/content/resources/boundary_motion_style.gd</x:v>
      </x:c>
    </x:row>
    <x:row r="8" ht="46" customHeight="1">
      <x:c r="A8" s="6" t="str">
        <x:v>已停用：水带起伏</x:v>
      </x:c>
      <x:c r="B8" s="117" t="n">
        <x:v>3</x:v>
      </x:c>
      <x:c r="C8" s="20" t="n">
        <x:v>3</x:v>
      </x:c>
      <x:c r="D8" s="6" t="str">
        <x:v>设计 px</x:v>
      </x:c>
      <x:c r="E8" s="6" t="str">
        <x:v>2～4</x:v>
      </x:c>
      <x:c r="F8" s="20" t="n">
        <x:v>0.1</x:v>
      </x:c>
      <x:c r="G8" s="8" t="str">
        <x:v>1920×1080 基准下的水带幅度；连接带和中央内缘保持稳定。</x:v>
      </x:c>
      <x:c r="H8" s="6" t="str"/>
      <x:c r="I8" s="6" t="str"/>
      <x:c r="J8" s="6" t="str">
        <x:v>src/content/resources/boundary_motion_style.gd</x:v>
      </x:c>
    </x:row>
    <x:row r="9" ht="46" customHeight="1">
      <x:c r="A9" s="6" t="str">
        <x:v>已停用：大浪回卷</x:v>
      </x:c>
      <x:c r="B9" s="117" t="n">
        <x:v>12</x:v>
      </x:c>
      <x:c r="C9" s="20" t="n">
        <x:v>12</x:v>
      </x:c>
      <x:c r="D9" s="6" t="str">
        <x:v>设计 px</x:v>
      </x:c>
      <x:c r="E9" s="6" t="str">
        <x:v>8～12</x:v>
      </x:c>
      <x:c r="F9" s="20" t="n">
        <x:v>0.5</x:v>
      </x:c>
      <x:c r="G9" s="8" t="str">
        <x:v>大浪身与浪尖的局部行程，按控制图平滑衰减。</x:v>
      </x:c>
      <x:c r="H9" s="6" t="str"/>
      <x:c r="I9" s="6" t="str"/>
      <x:c r="J9" s="6" t="str">
        <x:v>src/content/resources/boundary_motion_style.gd</x:v>
      </x:c>
    </x:row>
    <x:row r="10" ht="46" customHeight="1">
      <x:c r="A10" s="6" t="str">
        <x:v>已停用：节拍回应</x:v>
      </x:c>
      <x:c r="B10" s="118" t="n">
        <x:v>1</x:v>
      </x:c>
      <x:c r="C10" s="10" t="n">
        <x:v>1</x:v>
      </x:c>
      <x:c r="D10" s="6" t="str">
        <x:v>开关</x:v>
      </x:c>
      <x:c r="E10" s="6" t="str">
        <x:v>开启</x:v>
      </x:c>
      <x:c r="F10" s="10" t="n">
        <x:v>1</x:v>
      </x:c>
      <x:c r="G10" s="8" t="str">
        <x:v>按谱面每拍叠加轻微舒张；关闭后仍可保留缓流。</x:v>
      </x:c>
      <x:c r="H10" s="6" t="str"/>
      <x:c r="I10" s="6" t="str"/>
      <x:c r="J10" s="6" t="str">
        <x:v>src/content/resources/boundary_motion_style.gd</x:v>
      </x:c>
    </x:row>
    <x:row r="11" ht="46" customHeight="1">
      <x:c r="A11" s="6" t="str">
        <x:v>已停用：节拍舒张幅度</x:v>
      </x:c>
      <x:c r="B11" s="117" t="n">
        <x:v>1.2</x:v>
      </x:c>
      <x:c r="C11" s="20" t="n">
        <x:v>1.2</x:v>
      </x:c>
      <x:c r="D11" s="6" t="str">
        <x:v>设计 px</x:v>
      </x:c>
      <x:c r="E11" s="6" t="str">
        <x:v>0.6～1.2</x:v>
      </x:c>
      <x:c r="F11" s="20" t="n">
        <x:v>0.1</x:v>
      </x:c>
      <x:c r="G11" s="8" t="str">
        <x:v>拍点后 0.18 拍达峰、0.80 拍前回落；浪尖为此值的至多 1.5 倍，不累积。</x:v>
      </x:c>
      <x:c r="H11" s="6" t="str"/>
      <x:c r="I11" s="6" t="str"/>
      <x:c r="J11" s="6" t="str">
        <x:v>src/content/resources/boundary_motion_style.gd</x:v>
      </x:c>
    </x:row>
    <x:row r="12" ht="46" customHeight="1">
      <x:c r="A12" s="6" t="str">
        <x:v>已停用：卷流接替间隔</x:v>
      </x:c>
      <x:c r="B12" s="118" t="n">
        <x:v>1</x:v>
      </x:c>
      <x:c r="C12" s="10" t="n">
        <x:v>1</x:v>
      </x:c>
      <x:c r="D12" s="6" t="str">
        <x:v>小节</x:v>
      </x:c>
      <x:c r="E12" s="6" t="str">
        <x:v>1</x:v>
      </x:c>
      <x:c r="F12" s="10" t="n">
        <x:v>1</x:v>
      </x:c>
      <x:c r="G12" s="8" t="str">
        <x:v>每隔此数小节接入一对新水臂；每道水臂持续两个接替间隔。</x:v>
      </x:c>
      <x:c r="H12" s="6" t="str"/>
      <x:c r="I12" s="6" t="str"/>
      <x:c r="J12" s="6" t="str">
        <x:v>src/content/resources/boundary_motion_style.gd</x:v>
      </x:c>
    </x:row>
    <x:row r="13" ht="46" customHeight="1">
      <x:c r="A13" s="6" t="str">
        <x:v>已停用：大浪高度</x:v>
      </x:c>
      <x:c r="B13" s="117" t="n">
        <x:v>165</x:v>
      </x:c>
      <x:c r="C13" s="20" t="n">
        <x:v>165</x:v>
      </x:c>
      <x:c r="D13" s="6" t="str">
        <x:v>设计 px</x:v>
      </x:c>
      <x:c r="E13" s="6" t="str">
        <x:v>150～170</x:v>
      </x:c>
      <x:c r="F13" s="10" t="n">
        <x:v>1</x:v>
      </x:c>
      <x:c r="G13" s="8" t="str">
        <x:v>最高伸顶姿势的高度；修改后检查判定圈周围留白。</x:v>
      </x:c>
      <x:c r="H13" s="6" t="str"/>
      <x:c r="I13" s="6" t="str"/>
      <x:c r="J13" s="6" t="str">
        <x:v>src/content/resources/boundary_motion_style.gd</x:v>
      </x:c>
    </x:row>
    <x:row r="14" ht="46" customHeight="1">
      <x:c r="A14" s="6" t="str">
        <x:v>已停用：浪身推进</x:v>
      </x:c>
      <x:c r="B14" s="117" t="n">
        <x:v>190</x:v>
      </x:c>
      <x:c r="C14" s="20" t="n">
        <x:v>190</x:v>
      </x:c>
      <x:c r="D14" s="6" t="str">
        <x:v>设计 px</x:v>
      </x:c>
      <x:c r="E14" s="6" t="str">
        <x:v>160～200</x:v>
      </x:c>
      <x:c r="F14" s="10" t="n">
        <x:v>1</x:v>
      </x:c>
      <x:c r="G14" s="8" t="str">
        <x:v>从低水脊到触水的前进距离；水沫随后再前滑约 120 px。</x:v>
      </x:c>
      <x:c r="H14" s="6" t="str"/>
      <x:c r="I14" s="6" t="str"/>
      <x:c r="J14" s="6" t="str">
        <x:v>src/content/resources/boundary_motion_style.gd</x:v>
      </x:c>
    </x:row>
    <x:row r="15" ht="46" customHeight="1">
      <x:c r="A15" s="6" t="str">
        <x:v>已停用：翻卷行程</x:v>
      </x:c>
      <x:c r="B15" s="117" t="n">
        <x:v>90</x:v>
      </x:c>
      <x:c r="C15" s="20" t="n">
        <x:v>90</x:v>
      </x:c>
      <x:c r="D15" s="6" t="str">
        <x:v>设计 px</x:v>
      </x:c>
      <x:c r="E15" s="6" t="str">
        <x:v>70～110</x:v>
      </x:c>
      <x:c r="F15" s="10" t="n">
        <x:v>1</x:v>
      </x:c>
      <x:c r="G15" s="8" t="str">
        <x:v>控制浪唇横向舒展与翻送尺度，浪高独立配置。</x:v>
      </x:c>
      <x:c r="H15" s="6" t="str"/>
      <x:c r="I15" s="6" t="str"/>
      <x:c r="J15" s="6" t="str">
        <x:v>src/content/resources/boundary_motion_style.gd</x:v>
      </x:c>
    </x:row>
    <x:row r="16" ht="46" customHeight="1">
      <x:c r="A16" s="6" t="str">
        <x:v>已停用：拍落白沫强度</x:v>
      </x:c>
      <x:c r="B16" s="119" t="n">
        <x:v>0.9</x:v>
      </x:c>
      <x:c r="C16" s="12" t="n">
        <x:v>0.9</x:v>
      </x:c>
      <x:c r="D16" s="6" t="str">
        <x:v>比例</x:v>
      </x:c>
      <x:c r="E16" s="6" t="str">
        <x:v>60%～100%</x:v>
      </x:c>
      <x:c r="F16" s="12" t="n">
        <x:v>0.05</x:v>
      </x:c>
      <x:c r="G16" s="8" t="str">
        <x:v>只控制拍落后白沫和细水线的不透明度。</x:v>
      </x:c>
      <x:c r="H16" s="6" t="str"/>
      <x:c r="I16" s="6" t="str"/>
      <x:c r="J16" s="6" t="str">
        <x:v>src/content/resources/boundary_motion_style.gd</x:v>
      </x:c>
    </x:row>
    <x:row r="17" ht="46" customHeight="1">
      <x:c r="A17" s="6" t="str">
        <x:v>基底水流</x:v>
      </x:c>
      <x:c r="B17" s="9" t="n">
        <x:v>1</x:v>
      </x:c>
      <x:c r="C17" s="10" t="n">
        <x:v>1</x:v>
      </x:c>
      <x:c r="D17" s="6" t="str">
        <x:v>开关</x:v>
      </x:c>
      <x:c r="E17" s="6" t="str">
        <x:v>开启</x:v>
      </x:c>
      <x:c r="F17" s="10" t="n">
        <x:v>1</x:v>
      </x:c>
      <x:c r="G17" s="8" t="str">
        <x:v>关闭后基底原纹固定，活动浪头继续播放；总动画关闭时仍恢复完整原画。</x:v>
      </x:c>
      <x:c r="H17" s="6" t="str">
        <x:v>boundary</x:v>
      </x:c>
      <x:c r="I17" s="6" t="str">
        <x:v>flow_enabled</x:v>
      </x:c>
      <x:c r="J17" s="6" t="str">
        <x:v>src/content/resources/boundary_motion_style.gd</x:v>
      </x:c>
    </x:row>
    <x:row r="18" ht="46" customHeight="1">
      <x:c r="A18" s="6" t="str">
        <x:v>基底流速</x:v>
      </x:c>
      <x:c r="B18" s="21" t="n">
        <x:v>60</x:v>
      </x:c>
      <x:c r="C18" s="20" t="n">
        <x:v>60</x:v>
      </x:c>
      <x:c r="D18" s="6" t="str">
        <x:v>设计 px/s</x:v>
      </x:c>
      <x:c r="E18" s="6" t="str">
        <x:v>48～72</x:v>
      </x:c>
      <x:c r="F18" s="10" t="n">
        <x:v>2</x:v>
      </x:c>
      <x:c r="G18" s="8" t="str">
        <x:v>内部色带的基准流速；局部随水带宽窄变化，不随 BPM 加速。</x:v>
      </x:c>
      <x:c r="H18" s="6" t="str">
        <x:v>boundary</x:v>
      </x:c>
      <x:c r="I18" s="6" t="str">
        <x:v>flow_speed_px_sec</x:v>
      </x:c>
      <x:c r="J18" s="6" t="str">
        <x:v>src/content/resources/boundary_motion_style.gd</x:v>
      </x:c>
    </x:row>
    <x:row r="19" ht="46" customHeight="1">
      <x:c r="A19" s="6" t="str">
        <x:v>原纹流动强度</x:v>
      </x:c>
      <x:c r="B19" s="11" t="n">
        <x:v>0.8</x:v>
      </x:c>
      <x:c r="C19" s="12" t="n">
        <x:v>0.8</x:v>
      </x:c>
      <x:c r="D19" s="6" t="str">
        <x:v>比例</x:v>
      </x:c>
      <x:c r="E19" s="6" t="str">
        <x:v>65%～90%</x:v>
      </x:c>
      <x:c r="F19" s="12" t="n">
        <x:v>0.05</x:v>
      </x:c>
      <x:c r="G19" s="8" t="str">
        <x:v>内部流动颜色的混合比例；不改变透明轮廓和水带厚度。</x:v>
      </x:c>
      <x:c r="H19" s="6" t="str">
        <x:v>boundary</x:v>
      </x:c>
      <x:c r="I19" s="6" t="str">
        <x:v>flow_strength</x:v>
      </x:c>
      <x:c r="J19" s="6" t="str">
        <x:v>src/content/resources/boundary_motion_style.gd</x:v>
      </x:c>
    </x:row>
    <x:row r="20" ht="46" customHeight="1">
      <x:c r="A20" s="6" t="str">
        <x:v>细水纹强度</x:v>
      </x:c>
      <x:c r="B20" s="11" t="n">
        <x:v>0.24</x:v>
      </x:c>
      <x:c r="C20" s="12" t="n">
        <x:v>0.24</x:v>
      </x:c>
      <x:c r="D20" s="6" t="str">
        <x:v>比例</x:v>
      </x:c>
      <x:c r="E20" s="6" t="str">
        <x:v>18%～30%</x:v>
      </x:c>
      <x:c r="F20" s="12" t="n">
        <x:v>0.01</x:v>
      </x:c>
      <x:c r="G20" s="8" t="str">
        <x:v>原画色细水线的峰值混合比例；0 只关闭细纹，不影响原纹流动。</x:v>
      </x:c>
      <x:c r="H20" s="6" t="str">
        <x:v>boundary</x:v>
      </x:c>
      <x:c r="I20" s="6" t="str">
        <x:v>streak_strength</x:v>
      </x:c>
      <x:c r="J20" s="6" t="str">
        <x:v>src/content/resources/boundary_motion_style.gd</x:v>
      </x:c>
    </x:row>
    <x:row r="21" ht="46" customHeight="1">
      <x:c r="A21" s="6" t="str">
        <x:v>已停用：漩涡外半径</x:v>
      </x:c>
      <x:c r="B21" s="117" t="n">
        <x:v>170</x:v>
      </x:c>
      <x:c r="C21" s="20" t="n">
        <x:v>170</x:v>
      </x:c>
      <x:c r="D21" s="6" t="str">
        <x:v>设计 px</x:v>
      </x:c>
      <x:c r="E21" s="6" t="str">
        <x:v>160～180</x:v>
      </x:c>
      <x:c r="F21" s="10" t="n">
        <x:v>1</x:v>
      </x:c>
      <x:c r="G21" s="8" t="str">
        <x:v>中央卷臂的外侧尺度；加宽的水坡接入两侧底带。</x:v>
      </x:c>
      <x:c r="H21" s="6" t="str"/>
      <x:c r="I21" s="6" t="str"/>
      <x:c r="J21" s="6" t="str">
        <x:v>src/content/resources/boundary_motion_style.gd</x:v>
      </x:c>
    </x:row>
    <x:row r="22" ht="46" customHeight="1">
      <x:c r="A22" s="6" t="str">
        <x:v>漩涡内半径</x:v>
      </x:c>
      <x:c r="B22" s="21" t="n">
        <x:v>88</x:v>
      </x:c>
      <x:c r="C22" s="20" t="n">
        <x:v>88</x:v>
      </x:c>
      <x:c r="D22" s="6" t="str">
        <x:v>设计 px</x:v>
      </x:c>
      <x:c r="E22" s="6" t="str">
        <x:v>88～100</x:v>
      </x:c>
      <x:c r="F22" s="10" t="n">
        <x:v>1</x:v>
      </x:c>
      <x:c r="G22" s="8" t="str">
        <x:v>中央留白的基准尺度；整体弧面向外调整，不裁切水体。</x:v>
      </x:c>
      <x:c r="H22" s="6" t="str">
        <x:v>boundary</x:v>
      </x:c>
      <x:c r="I22" s="6" t="str">
        <x:v>vortex_inner_radius_px</x:v>
      </x:c>
      <x:c r="J22" s="6" t="str">
        <x:v>src/content/resources/boundary_motion_style.gd</x:v>
      </x:c>
    </x:row>
    <x:row r="23" ht="46" customHeight="1">
      <x:c r="A23" s="6" t="str">
        <x:v>已停用：卷入角度</x:v>
      </x:c>
      <x:c r="B23" s="117" t="n">
        <x:v>240</x:v>
      </x:c>
      <x:c r="C23" s="20" t="n">
        <x:v>240</x:v>
      </x:c>
      <x:c r="D23" s="6" t="str">
        <x:v>度</x:v>
      </x:c>
      <x:c r="E23" s="6" t="str">
        <x:v>220～250</x:v>
      </x:c>
      <x:c r="F23" s="10" t="n">
        <x:v>5</x:v>
      </x:c>
      <x:c r="G23" s="8" t="str">
        <x:v>调整卷臂的弯转；240°对应补绘的原画姿态。</x:v>
      </x:c>
      <x:c r="H23" s="6" t="str"/>
      <x:c r="I23" s="6" t="str"/>
      <x:c r="J23" s="6" t="str">
        <x:v>src/content/resources/boundary_motion_style.gd</x:v>
      </x:c>
    </x:row>
    <x:row r="24" ht="46" customHeight="1">
      <x:c r="A24" s="6" t="str">
        <x:v>浪身宽度</x:v>
      </x:c>
      <x:c r="B24" s="21" t="n">
        <x:v>112</x:v>
      </x:c>
      <x:c r="C24" s="20" t="n">
        <x:v>112</x:v>
      </x:c>
      <x:c r="D24" s="6" t="str">
        <x:v>设计 px</x:v>
      </x:c>
      <x:c r="E24" s="6" t="str">
        <x:v>100～130</x:v>
      </x:c>
      <x:c r="F24" s="10" t="n">
        <x:v>2</x:v>
      </x:c>
      <x:c r="G24" s="8" t="str">
        <x:v>向浪身外缘增加厚度；入口下缘保持平顺上行。</x:v>
      </x:c>
      <x:c r="H24" s="6" t="str">
        <x:v>boundary</x:v>
      </x:c>
      <x:c r="I24" s="6" t="str">
        <x:v>vortex_width_px</x:v>
      </x:c>
      <x:c r="J24" s="6" t="str">
        <x:v>src/content/resources/boundary_motion_style.gd</x:v>
      </x:c>
    </x:row>
    <x:row r="25" ht="46" customHeight="1">
      <x:c r="A25" s="6" t="str">
        <x:v>细沫强度</x:v>
      </x:c>
      <x:c r="B25" s="11" t="n">
        <x:v>0.65</x:v>
      </x:c>
      <x:c r="C25" s="12" t="n">
        <x:v>0.65</x:v>
      </x:c>
      <x:c r="D25" s="6" t="str">
        <x:v>比例</x:v>
      </x:c>
      <x:c r="E25" s="6" t="str">
        <x:v>50%～75%</x:v>
      </x:c>
      <x:c r="F25" s="12" t="n">
        <x:v>0.05</x:v>
      </x:c>
      <x:c r="G25" s="8" t="str">
        <x:v>沿卷流前进的骨白细水纹混合强度。</x:v>
      </x:c>
      <x:c r="H25" s="6" t="str">
        <x:v>boundary</x:v>
      </x:c>
      <x:c r="I25" s="6" t="str">
        <x:v>vortex_foam_strength</x:v>
      </x:c>
      <x:c r="J25" s="6" t="str">
        <x:v>src/content/resources/boundary_motion_style.gd</x:v>
      </x:c>
    </x:row>
    <x:row r="26" ht="46" customHeight="1">
      <x:c r="A26" s="6" t="str">
        <x:v>卷流速度</x:v>
      </x:c>
      <x:c r="B26" s="21" t="n">
        <x:v>96</x:v>
      </x:c>
      <x:c r="C26" s="20" t="n">
        <x:v>96</x:v>
      </x:c>
      <x:c r="D26" s="6" t="str">
        <x:v>设计 px/s</x:v>
      </x:c>
      <x:c r="E26" s="6" t="str">
        <x:v>80～120</x:v>
      </x:c>
      <x:c r="F26" s="10" t="n">
        <x:v>4</x:v>
      </x:c>
      <x:c r="G26" s="8" t="str">
        <x:v>水纹沿厚浪弧线连续前进的速度；浪缘略快，抵达尖端逐渐消散。</x:v>
      </x:c>
      <x:c r="H26" s="6" t="str">
        <x:v>boundary</x:v>
      </x:c>
      <x:c r="I26" s="6" t="str">
        <x:v>vortex_flow_speed_px_sec</x:v>
      </x:c>
      <x:c r="J26" s="6" t="str">
        <x:v>src/content/resources/boundary_motion_style.gd</x:v>
      </x:c>
    </x:row>
    <x:row r="27" ht="46" customHeight="1">
      <x:c r="A27" s="6" t="str">
        <x:v>每拍推进</x:v>
      </x:c>
      <x:c r="B27" s="21" t="n">
        <x:v>1.25</x:v>
      </x:c>
      <x:c r="C27" s="20" t="n">
        <x:v>1.25</x:v>
      </x:c>
      <x:c r="D27" s="6" t="str">
        <x:v>设计 px/拍</x:v>
      </x:c>
      <x:c r="E27" s="6" t="str">
        <x:v>0～2</x:v>
      </x:c>
      <x:c r="F27" s="20" t="n">
        <x:v>0.05</x:v>
      </x:c>
      <x:c r="G27" s="8" t="str">
        <x:v>每拍前 0.4 拍柔和增加的路程；0 关闭提速，基础卷流继续。</x:v>
      </x:c>
      <x:c r="H27" s="6" t="str">
        <x:v>boundary</x:v>
      </x:c>
      <x:c r="I27" s="6" t="str">
        <x:v>vortex_beat_push_px</x:v>
      </x:c>
      <x:c r="J27" s="6" t="str">
        <x:v>src/content/resources/boundary_motion_style.gd</x:v>
      </x:c>
    </x:row>
  </x:sheetData>
  <x:dataValidations count="22">
    <x:dataValidation type="whole" operator="between" sqref="B6">
      <x:formula1>0</x:formula1>
      <x:formula2>1</x:formula2>
    </x:dataValidation>
    <x:dataValidation type="decimal" operator="between" sqref="B7">
      <x:formula1>3</x:formula1>
      <x:formula2>12</x:formula2>
    </x:dataValidation>
    <x:dataValidation type="decimal" operator="between" sqref="B8">
      <x:formula1>0</x:formula1>
      <x:formula2>6</x:formula2>
    </x:dataValidation>
    <x:dataValidation type="decimal" operator="between" sqref="B9">
      <x:formula1>0</x:formula1>
      <x:formula2>16</x:formula2>
    </x:dataValidation>
    <x:dataValidation type="whole" operator="between" sqref="B10">
      <x:formula1>0</x:formula1>
      <x:formula2>1</x:formula2>
    </x:dataValidation>
    <x:dataValidation type="decimal" operator="between" sqref="B11">
      <x:formula1>0</x:formula1>
      <x:formula2>2</x:formula2>
    </x:dataValidation>
    <x:dataValidation type="whole" operator="between" sqref="B12">
      <x:formula1>1</x:formula1>
      <x:formula2>4</x:formula2>
    </x:dataValidation>
    <x:dataValidation type="decimal" operator="between" sqref="B13">
      <x:formula1>100</x:formula1>
      <x:formula2>190</x:formula2>
    </x:dataValidation>
    <x:dataValidation type="decimal" operator="between" sqref="B14">
      <x:formula1>100</x:formula1>
      <x:formula2>240</x:formula2>
    </x:dataValidation>
    <x:dataValidation type="decimal" operator="between" sqref="B15">
      <x:formula1>70</x:formula1>
      <x:formula2>110</x:formula2>
    </x:dataValidation>
    <x:dataValidation type="decimal" operator="between" sqref="B16">
      <x:formula1>0</x:formula1>
      <x:formula2>1</x:formula2>
    </x:dataValidation>
    <x:dataValidation type="whole" operator="between" sqref="B17">
      <x:formula1>0</x:formula1>
      <x:formula2>1</x:formula2>
    </x:dataValidation>
    <x:dataValidation type="decimal" operator="between" sqref="B18">
      <x:formula1>0</x:formula1>
      <x:formula2>100</x:formula2>
    </x:dataValidation>
    <x:dataValidation type="decimal" operator="between" sqref="B19">
      <x:formula1>0</x:formula1>
      <x:formula2>1</x:formula2>
    </x:dataValidation>
    <x:dataValidation type="decimal" operator="between" sqref="B20">
      <x:formula1>0</x:formula1>
      <x:formula2>0.4</x:formula2>
    </x:dataValidation>
    <x:dataValidation type="decimal" operator="between" sqref="B21">
      <x:formula1>145</x:formula1>
      <x:formula2>200</x:formula2>
    </x:dataValidation>
    <x:dataValidation type="decimal" operator="between" sqref="B22">
      <x:formula1>80</x:formula1>
      <x:formula2>110</x:formula2>
    </x:dataValidation>
    <x:dataValidation type="decimal" operator="between" sqref="B23">
      <x:formula1>180</x:formula1>
      <x:formula2>270</x:formula2>
    </x:dataValidation>
    <x:dataValidation type="decimal" operator="between" sqref="B24">
      <x:formula1>80</x:formula1>
      <x:formula2>150</x:formula2>
    </x:dataValidation>
    <x:dataValidation type="decimal" operator="between" sqref="B25">
      <x:formula1>0</x:formula1>
      <x:formula2>1</x:formula2>
    </x:dataValidation>
    <x:dataValidation type="decimal" operator="between" sqref="B26">
      <x:formula1>0</x:formula1>
      <x:formula2>180</x:formula2>
    </x:dataValidation>
    <x:dataValidation type="decimal" operator="between" sqref="B27">
      <x:formula1>0</x:formula1>
      <x:formula2>3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角色移动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修改黄色当前值；参考层填写连续性标识，留空使用静息。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43" t="str">
        <x:v>参数</x:v>
      </x:c>
      <x:c r="B5" s="43" t="str">
        <x:v>当前值</x:v>
      </x:c>
      <x:c r="C5" s="43" t="str">
        <x:v>原型默认</x:v>
      </x:c>
      <x:c r="D5" s="43" t="str">
        <x:v>单位</x:v>
      </x:c>
      <x:c r="E5" s="43" t="str">
        <x:v>建议试调区间</x:v>
      </x:c>
      <x:c r="F5" s="43" t="str">
        <x:v>每次建议改动</x:v>
      </x:c>
      <x:c r="G5" s="43" t="str">
        <x:v>作用与注意事项</x:v>
      </x:c>
      <x:c r="H5" s="43" t="str">
        <x:v>配置对象</x:v>
      </x:c>
      <x:c r="I5" s="43" t="str">
        <x:v>字段名</x:v>
      </x:c>
      <x:c r="J5" s="43" t="str">
        <x:v>来源（Game 内）</x:v>
      </x:c>
    </x:row>
    <x:row r="6" ht="46" customHeight="1">
      <x:c r="A6" s="6" t="str">
        <x:v>移动循环时长</x:v>
      </x:c>
      <x:c r="B6" s="21" t="n">
        <x:v>1.6</x:v>
      </x:c>
      <x:c r="C6" s="20" t="n">
        <x:v>1.6</x:v>
      </x:c>
      <x:c r="D6" s="6" t="str">
        <x:v>秒</x:v>
      </x:c>
      <x:c r="E6" s="6" t="str">
        <x:v>0.8～3.2</x:v>
      </x:c>
      <x:c r="F6" s="20" t="n">
        <x:v>0.1</x:v>
      </x:c>
      <x:c r="G6" s="8" t="str">
        <x:v>一轮包含左右两步；固定步频，不随 BPM 或发波变化。</x:v>
      </x:c>
      <x:c r="H6" s="6" t="str">
        <x:v>actors</x:v>
      </x:c>
      <x:c r="I6" s="6" t="str">
        <x:v>walk_period_sec</x:v>
      </x:c>
      <x:c r="J6" s="6" t="str">
        <x:v>src/content/resources/stage_visual_theme.gd</x:v>
      </x:c>
    </x:row>
    <x:row r="7" ht="46" customHeight="1">
      <x:c r="A7" s="6" t="str">
        <x:v>移动启停混合</x:v>
      </x:c>
      <x:c r="B7" s="21" t="n">
        <x:v>0.18</x:v>
      </x:c>
      <x:c r="C7" s="20" t="n">
        <x:v>0.18</x:v>
      </x:c>
      <x:c r="D7" s="6" t="str">
        <x:v>秒</x:v>
      </x:c>
      <x:c r="E7" s="6" t="str">
        <x:v>0.05～0.4</x:v>
      </x:c>
      <x:c r="F7" s="20" t="n">
        <x:v>0.01</x:v>
      </x:c>
      <x:c r="G7" s="8" t="str">
        <x:v>地景启动、停止时与静息的衔接时间；攻击收招仍使用 0.15 秒。</x:v>
      </x:c>
      <x:c r="H7" s="6" t="str">
        <x:v>actors</x:v>
      </x:c>
      <x:c r="I7" s="6" t="str">
        <x:v>walk_mix_sec</x:v>
      </x:c>
      <x:c r="J7" s="6" t="str">
        <x:v>src/content/resources/stage_visual_theme.gd</x:v>
      </x:c>
    </x:row>
    <x:row r="8" ht="46" customHeight="1">
      <x:c r="A8" s="6" t="str">
        <x:v>地景停止阈值</x:v>
      </x:c>
      <x:c r="B8" s="21" t="n">
        <x:v>0.5</x:v>
      </x:c>
      <x:c r="C8" s="20" t="n">
        <x:v>0.5</x:v>
      </x:c>
      <x:c r="D8" s="6" t="str">
        <x:v>设计 px/s</x:v>
      </x:c>
      <x:c r="E8" s="6" t="str">
        <x:v>0.01～10</x:v>
      </x:c>
      <x:c r="F8" s="20" t="n">
        <x:v>0.1</x:v>
      </x:c>
      <x:c r="G8" s="8" t="str">
        <x:v>主场景沿滚动方向的实际速度低于此值时静息，排除震屏和手持晃动。</x:v>
      </x:c>
      <x:c r="H8" s="6" t="str">
        <x:v>actors</x:v>
      </x:c>
      <x:c r="I8" s="6" t="str">
        <x:v>walk_stop_speed_px_sec</x:v>
      </x:c>
      <x:c r="J8" s="6" t="str">
        <x:v>src/content/resources/stage_visual_theme.gd</x:v>
      </x:c>
    </x:row>
    <x:row r="9" ht="46" customHeight="1">
      <x:c r="A9" s="6" t="str">
        <x:v>生侧移动参考层</x:v>
      </x:c>
      <x:c r="B9" s="50" t="str">
        <x:v>50/default</x:v>
      </x:c>
      <x:c r="C9" s="47" t="str">
        <x:v>50/default</x:v>
      </x:c>
      <x:c r="D9" s="6" t="str">
        <x:v>连续性标识</x:v>
      </x:c>
      <x:c r="E9" s="6" t="str">
        <x:v>按主地景配置</x:v>
      </x:c>
      <x:c r="F9" s="10" t="n">
        <x:v>0</x:v>
      </x:c>
      <x:c r="G9" s="8" t="str">
        <x:v>主地景连续性标识；当前五份背景的远景生侧，缺失或留空时静息。</x:v>
      </x:c>
      <x:c r="H9" s="6" t="str">
        <x:v>actors</x:v>
      </x:c>
      <x:c r="I9" s="6" t="str">
        <x:v>life_movement_layer_key</x:v>
      </x:c>
      <x:c r="J9" s="6" t="str">
        <x:v>src/content/resources/stage_visual_theme.gd</x:v>
      </x:c>
    </x:row>
    <x:row r="10" ht="46" customHeight="1">
      <x:c r="A10" s="6" t="str">
        <x:v>死侧移动参考层</x:v>
      </x:c>
      <x:c r="B10" s="50" t="str">
        <x:v>50/sublayer_55</x:v>
      </x:c>
      <x:c r="C10" s="47" t="str">
        <x:v>50/sublayer_55</x:v>
      </x:c>
      <x:c r="D10" s="6" t="str">
        <x:v>连续性标识</x:v>
      </x:c>
      <x:c r="E10" s="6" t="str">
        <x:v>按主地景配置</x:v>
      </x:c>
      <x:c r="F10" s="10" t="n">
        <x:v>0</x:v>
      </x:c>
      <x:c r="G10" s="8" t="str">
        <x:v>主地景连续性标识；当前五份背景的远景死侧，缺失或留空时静息。</x:v>
      </x:c>
      <x:c r="H10" s="6" t="str">
        <x:v>actors</x:v>
      </x:c>
      <x:c r="I10" s="6" t="str">
        <x:v>death_movement_layer_key</x:v>
      </x:c>
      <x:c r="J10" s="6" t="str">
        <x:v>src/content/resources/stage_visual_theme.gd</x:v>
      </x:c>
    </x:row>
    <x:row r="11" ht="46" customHeight="1">
      <x:c r="A11" s="6" t="str">
        <x:v>人物横向偏移</x:v>
      </x:c>
      <x:c r="B11" s="21" t="n">
        <x:v>36</x:v>
      </x:c>
      <x:c r="C11" s="20" t="n">
        <x:v>36</x:v>
      </x:c>
      <x:c r="D11" s="6" t="str">
        <x:v>设计 px</x:v>
      </x:c>
      <x:c r="E11" s="6" t="str">
        <x:v>20～50</x:v>
      </x:c>
      <x:c r="F11" s="10" t="n">
        <x:v>4</x:v>
      </x:c>
      <x:c r="G11" s="8" t="str">
        <x:v>人物与附属编钟沿本侧局部 X 移动，死侧中心对称；不改变玩法波源。</x:v>
      </x:c>
      <x:c r="H11" s="6" t="str">
        <x:v>actors</x:v>
      </x:c>
      <x:c r="I11" s="6" t="str">
        <x:v>actor_shift_px</x:v>
      </x:c>
      <x:c r="J11" s="6" t="str">
        <x:v>src/content/resources/stage_visual_theme.gd</x:v>
      </x:c>
    </x:row>
    <x:row r="12" ht="46" customHeight="1">
      <x:c r="A12" s="6" t="str">
        <x:v>编钟向人物收近</x:v>
      </x:c>
      <x:c r="B12" s="21" t="n">
        <x:v>24</x:v>
      </x:c>
      <x:c r="C12" s="20" t="n">
        <x:v>24</x:v>
      </x:c>
      <x:c r="D12" s="6" t="str">
        <x:v>设计 px</x:v>
      </x:c>
      <x:c r="E12" s="6" t="str">
        <x:v>12～40</x:v>
      </x:c>
      <x:c r="F12" s="10" t="n">
        <x:v>4</x:v>
      </x:c>
      <x:c r="G12" s="8" t="str">
        <x:v>相对场景原始人钟间距向内收近；正数缩短距离，不移动人物。</x:v>
      </x:c>
      <x:c r="H12" s="6" t="str">
        <x:v>actors</x:v>
      </x:c>
      <x:c r="I12" s="6" t="str">
        <x:v>bell_inset_px</x:v>
      </x:c>
      <x:c r="J12" s="6" t="str">
        <x:v>src/content/resources/stage_visual_theme.gd</x:v>
      </x:c>
    </x:row>
    <x:row r="13" ht="46" customHeight="1">
      <x:c r="A13" s="6" t="str">
        <x:v>宠物横向偏移</x:v>
      </x:c>
      <x:c r="B13" s="21" t="n">
        <x:v>-60</x:v>
      </x:c>
      <x:c r="C13" s="20" t="n">
        <x:v>-60</x:v>
      </x:c>
      <x:c r="D13" s="6" t="str">
        <x:v>设计 px</x:v>
      </x:c>
      <x:c r="E13" s="6" t="str">
        <x:v>-80～-40</x:v>
      </x:c>
      <x:c r="F13" s="10" t="n">
        <x:v>4</x:v>
      </x:c>
      <x:c r="G13" s="8" t="str">
        <x:v>叠加在随从锚点上，负数向本侧画面外移动；死侧中心对称。</x:v>
      </x:c>
      <x:c r="H13" s="6" t="str">
        <x:v>actors</x:v>
      </x:c>
      <x:c r="I13" s="6" t="str">
        <x:v>pet_shift_px</x:v>
      </x:c>
      <x:c r="J13" s="6" t="str">
        <x:v>src/content/resources/stage_visual_theme.gd</x:v>
      </x:c>
    </x:row>
    <x:row r="14" ht="46" customHeight="1">
      <x:c r="A14" s="6" t="str">
        <x:v>宠物大小倍率</x:v>
      </x:c>
      <x:c r="B14" s="21" t="n">
        <x:v>0.85</x:v>
      </x:c>
      <x:c r="C14" s="20" t="n">
        <x:v>0.85</x:v>
      </x:c>
      <x:c r="D14" s="6" t="str">
        <x:v>倍</x:v>
      </x:c>
      <x:c r="E14" s="6" t="str">
        <x:v>0.75～0.95</x:v>
      </x:c>
      <x:c r="F14" s="20" t="n">
        <x:v>0.05</x:v>
      </x:c>
      <x:c r="G14" s="8" t="str">
        <x:v>乘以随从资源原有 world_scale；不改变技能、头像或菜单尺寸。</x:v>
      </x:c>
      <x:c r="H14" s="6" t="str">
        <x:v>actors</x:v>
      </x:c>
      <x:c r="I14" s="6" t="str">
        <x:v>pet_scale_multiplier</x:v>
      </x:c>
      <x:c r="J14" s="6" t="str">
        <x:v>src/content/resources/stage_visual_theme.gd</x:v>
      </x:c>
    </x:row>
    <x:row r="15" ht="46" customHeight="1">
      <x:c r="A15" s="6" t="str">
        <x:v>编钟浮动幅度</x:v>
      </x:c>
      <x:c r="B15" s="21" t="n">
        <x:v>4</x:v>
      </x:c>
      <x:c r="C15" s="20" t="n">
        <x:v>4</x:v>
      </x:c>
      <x:c r="D15" s="6" t="str">
        <x:v>设计 px</x:v>
      </x:c>
      <x:c r="E15" s="6" t="str">
        <x:v>2～6</x:v>
      </x:c>
      <x:c r="F15" s="10" t="n">
        <x:v>1</x:v>
      </x:c>
      <x:c r="G15" s="8" t="str">
        <x:v>相对静止位置的上下最大偏移；随歌曲时钟，暂停冻结。</x:v>
      </x:c>
      <x:c r="H15" s="6" t="str">
        <x:v>actors</x:v>
      </x:c>
      <x:c r="I15" s="6" t="str">
        <x:v>bell_float_height_px</x:v>
      </x:c>
      <x:c r="J15" s="6" t="str">
        <x:v>src/content/resources/stage_visual_theme.gd</x:v>
      </x:c>
    </x:row>
    <x:row r="16" ht="46" customHeight="1">
      <x:c r="A16" s="6" t="str">
        <x:v>编钟光效强度</x:v>
      </x:c>
      <x:c r="B16" s="21" t="n">
        <x:v>1</x:v>
      </x:c>
      <x:c r="C16" s="20" t="n">
        <x:v>1</x:v>
      </x:c>
      <x:c r="D16" s="6" t="str">
        <x:v>倍</x:v>
      </x:c>
      <x:c r="E16" s="6" t="str">
        <x:v>0.6～1.4</x:v>
      </x:c>
      <x:c r="F16" s="20" t="n">
        <x:v>0.1</x:v>
      </x:c>
      <x:c r="G16" s="8" t="str">
        <x:v>统一缩放阵营柔光与挥槌接触时的提亮，保留原金属纹理。</x:v>
      </x:c>
      <x:c r="H16" s="6" t="str">
        <x:v>actors</x:v>
      </x:c>
      <x:c r="I16" s="6" t="str">
        <x:v>bell_glow_strength</x:v>
      </x:c>
      <x:c r="J16" s="6" t="str">
        <x:v>src/content/resources/stage_visual_theme.gd</x:v>
      </x:c>
    </x:row>
  </x:sheetData>
  <x:dataValidations count="9">
    <x:dataValidation type="decimal" operator="between" sqref="B6">
      <x:formula1>0.8</x:formula1>
      <x:formula2>3.2</x:formula2>
    </x:dataValidation>
    <x:dataValidation type="decimal" operator="between" sqref="B7">
      <x:formula1>0.05</x:formula1>
      <x:formula2>0.4</x:formula2>
    </x:dataValidation>
    <x:dataValidation type="decimal" operator="between" sqref="B8">
      <x:formula1>0.01</x:formula1>
      <x:formula2>10</x:formula2>
    </x:dataValidation>
    <x:dataValidation type="decimal" operator="between" sqref="B11">
      <x:formula1>-100</x:formula1>
      <x:formula2>100</x:formula2>
    </x:dataValidation>
    <x:dataValidation type="decimal" operator="between" sqref="B12">
      <x:formula1>-60</x:formula1>
      <x:formula2>100</x:formula2>
    </x:dataValidation>
    <x:dataValidation type="decimal" operator="between" sqref="B13">
      <x:formula1>-100</x:formula1>
      <x:formula2>100</x:formula2>
    </x:dataValidation>
    <x:dataValidation type="decimal" operator="between" sqref="B14">
      <x:formula1>0.5</x:formula1>
      <x:formula2>1.5</x:formula2>
    </x:dataValidation>
    <x:dataValidation type="decimal" operator="between" sqref="B15">
      <x:formula1>0</x:formula1>
      <x:formula2>12</x:formula2>
    </x:dataValidation>
    <x:dataValidation type="decimal" operator="between" sqref="B16">
      <x:formula1>0</x:formula1>
      <x:formula2>2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BOSS 表现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修改黄色当前值，重新装载关卡或 BOSS 审看场景后生效；对象和绑定可覆盖战斗及发射默认值。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63" t="str">
        <x:v>参数</x:v>
      </x:c>
      <x:c r="B5" s="63" t="str">
        <x:v>当前值</x:v>
      </x:c>
      <x:c r="C5" s="63" t="str">
        <x:v>原型默认</x:v>
      </x:c>
      <x:c r="D5" s="63" t="str">
        <x:v>单位</x:v>
      </x:c>
      <x:c r="E5" s="63" t="str">
        <x:v>建议试调区间</x:v>
      </x:c>
      <x:c r="F5" s="63" t="str">
        <x:v>每次建议改动</x:v>
      </x:c>
      <x:c r="G5" s="63" t="str">
        <x:v>作用与注意事项</x:v>
      </x:c>
      <x:c r="H5" s="63" t="str">
        <x:v>配置对象</x:v>
      </x:c>
      <x:c r="I5" s="63" t="str">
        <x:v>字段名</x:v>
      </x:c>
      <x:c r="J5" s="63" t="str">
        <x:v>来源（Game 内）</x:v>
      </x:c>
    </x:row>
    <x:row r="6" ht="46" customHeight="1">
      <x:c r="A6" s="6" t="str">
        <x:v>光效强度</x:v>
      </x:c>
      <x:c r="B6" s="21" t="n">
        <x:v>1</x:v>
      </x:c>
      <x:c r="C6" s="20" t="n">
        <x:v>1</x:v>
      </x:c>
      <x:c r="D6" s="6" t="str">
        <x:v>倍</x:v>
      </x:c>
      <x:c r="E6" s="6" t="str">
        <x:v>0～2</x:v>
      </x:c>
      <x:c r="F6" s="20" t="n">
        <x:v>0.1</x:v>
      </x:c>
      <x:c r="G6" s="8" t="str">
        <x:v>调整光波、火焰、眼光及羊头裂光和白场。攻击不提亮手部，默认白场保持0.5秒。</x:v>
      </x:c>
      <x:c r="H6" s="6" t="str">
        <x:v>boss</x:v>
      </x:c>
      <x:c r="I6" s="6" t="str">
        <x:v>glow_strength</x:v>
      </x:c>
      <x:c r="J6" s="6" t="str">
        <x:v>tools/boss_animation/boss_visual.gd</x:v>
      </x:c>
    </x:row>
    <x:row r="7" ht="46" customHeight="1">
      <x:c r="A7" s="6" t="str">
        <x:v>光效范围</x:v>
      </x:c>
      <x:c r="B7" s="21" t="n">
        <x:v>1</x:v>
      </x:c>
      <x:c r="C7" s="20" t="n">
        <x:v>1</x:v>
      </x:c>
      <x:c r="D7" s="6" t="str">
        <x:v>倍</x:v>
      </x:c>
      <x:c r="E7" s="6" t="str">
        <x:v>0.5～1.5</x:v>
      </x:c>
      <x:c r="F7" s="20" t="n">
        <x:v>0.1</x:v>
      </x:c>
      <x:c r="G7" s="8" t="str">
        <x:v>调整光波、火焰及羊头光束和骨片扩散范围，发射根部保持绑定。</x:v>
      </x:c>
      <x:c r="H7" s="6" t="str">
        <x:v>boss</x:v>
      </x:c>
      <x:c r="I7" s="6" t="str">
        <x:v>effect_scale</x:v>
      </x:c>
      <x:c r="J7" s="6" t="str">
        <x:v>tools/boss_animation/boss_visual.gd</x:v>
      </x:c>
    </x:row>
    <x:row r="8" ht="46" customHeight="1">
      <x:c r="A8" s="6" t="str">
        <x:v>碎片数量倍率</x:v>
      </x:c>
      <x:c r="B8" s="21" t="n">
        <x:v>1</x:v>
      </x:c>
      <x:c r="C8" s="20" t="n">
        <x:v>1</x:v>
      </x:c>
      <x:c r="D8" s="6" t="str">
        <x:v>倍</x:v>
      </x:c>
      <x:c r="E8" s="6" t="str">
        <x:v>0.25～2</x:v>
      </x:c>
      <x:c r="F8" s="20" t="n">
        <x:v>0.25</x:v>
      </x:c>
      <x:c r="G8" s="8" t="str">
        <x:v>调整附属碎屑数量。羊头六片额眼表层与34块骨片固定，不改变动作时长。</x:v>
      </x:c>
      <x:c r="H8" s="6" t="str">
        <x:v>boss</x:v>
      </x:c>
      <x:c r="I8" s="6" t="str">
        <x:v>fragment_multiplier</x:v>
      </x:c>
      <x:c r="J8" s="6" t="str">
        <x:v>tools/boss_animation/boss_visual.gd</x:v>
      </x:c>
    </x:row>
    <x:row r="9" ht="46" customHeight="1">
      <x:c r="A9" s="6" t="str">
        <x:v>BOSS 血量比例</x:v>
      </x:c>
      <x:c r="B9" s="21" t="n">
        <x:v>0.8</x:v>
      </x:c>
      <x:c r="C9" s="20" t="n">
        <x:v>0.8</x:v>
      </x:c>
      <x:c r="D9" s="6" t="str">
        <x:v>倍</x:v>
      </x:c>
      <x:c r="E9" s="6" t="str">
        <x:v>0.05～2</x:v>
      </x:c>
      <x:c r="F9" s="20" t="n">
        <x:v>0.05</x:v>
      </x:c>
      <x:c r="G9" s="8" t="str">
        <x:v>最大血量相对所属音符理论总伤害；零血先破防，最后一波结束后死亡。</x:v>
      </x:c>
      <x:c r="H9" s="6" t="str">
        <x:v>boss</x:v>
      </x:c>
      <x:c r="I9" s="6" t="str">
        <x:v>health_ratio</x:v>
      </x:c>
      <x:c r="J9" s="6" t="str">
        <x:v>src/runtime/director/level_boss_compiler.gd</x:v>
      </x:c>
    </x:row>
    <x:row r="10" ht="46" customHeight="1">
      <x:c r="A10" s="6" t="str">
        <x:v>BOSS 巡航速度</x:v>
      </x:c>
      <x:c r="B10" s="21" t="n">
        <x:v>600</x:v>
      </x:c>
      <x:c r="C10" s="20" t="n">
        <x:v>600</x:v>
      </x:c>
      <x:c r="D10" s="6" t="str">
        <x:v>设计像素/秒</x:v>
      </x:c>
      <x:c r="E10" s="6" t="str">
        <x:v>100～3000</x:v>
      </x:c>
      <x:c r="F10" s="10" t="n">
        <x:v>10</x:v>
      </x:c>
      <x:c r="G10" s="8" t="str">
        <x:v>根据曲线弧长反推提前发射时间，不改变判定拍点；对象及绑定可以覆盖。</x:v>
      </x:c>
      <x:c r="H10" s="6" t="str">
        <x:v>boss</x:v>
      </x:c>
      <x:c r="I10" s="6" t="str">
        <x:v>flight_speed</x:v>
      </x:c>
      <x:c r="J10" s="6" t="str">
        <x:v>src/runtime/director/level_boss_compiler.gd</x:v>
      </x:c>
    </x:row>
    <x:row r="11" ht="46" customHeight="1">
      <x:c r="A11" s="6" t="str">
        <x:v>BOSS 散射半角</x:v>
      </x:c>
      <x:c r="B11" s="21" t="n">
        <x:v>30</x:v>
      </x:c>
      <x:c r="C11" s="20" t="n">
        <x:v>30</x:v>
      </x:c>
      <x:c r="D11" s="6" t="str">
        <x:v>度</x:v>
      </x:c>
      <x:c r="E11" s="6" t="str">
        <x:v>0～60</x:v>
      </x:c>
      <x:c r="F11" s="10" t="n">
        <x:v>1</x:v>
      </x:c>
      <x:c r="G11" s="8" t="str">
        <x:v>对应侧出手方向的随机半角；稳定音符 ID 决定结果，后段平滑贴回原路线。</x:v>
      </x:c>
      <x:c r="H11" s="6" t="str">
        <x:v>boss</x:v>
      </x:c>
      <x:c r="I11" s="6" t="str">
        <x:v>spread_deg</x:v>
      </x:c>
      <x:c r="J11" s="6" t="str">
        <x:v>src/runtime/director/level_boss_compiler.gd</x:v>
      </x:c>
    </x:row>
    <x:row r="12" ht="46" customHeight="1">
      <x:c r="A12" s="6" t="str">
        <x:v>音符起步弹射倍率</x:v>
      </x:c>
      <x:c r="B12" s="21" t="n">
        <x:v>2</x:v>
      </x:c>
      <x:c r="C12" s="20" t="n">
        <x:v>2</x:v>
      </x:c>
      <x:c r="D12" s="6" t="str">
        <x:v>倍</x:v>
      </x:c>
      <x:c r="E12" s="6" t="str">
        <x:v>1～3</x:v>
      </x:c>
      <x:c r="F12" s="20" t="n">
        <x:v>0.1</x:v>
      </x:c>
      <x:c r="G12" s="8" t="str">
        <x:v>相对巡航速度的起步速度，初段平滑回落，让音符更快离开 BOSS；不改变发射和判定时刻。</x:v>
      </x:c>
      <x:c r="H12" s="6" t="str">
        <x:v>boss</x:v>
      </x:c>
      <x:c r="I12" s="6" t="str">
        <x:v>launch_speed_ratio</x:v>
      </x:c>
      <x:c r="J12" s="6" t="str">
        <x:v>src/runtime/director/boss_emission_path.gd</x:v>
      </x:c>
    </x:row>
    <x:row r="13" ht="46" customHeight="1">
      <x:c r="A13" s="6" t="str">
        <x:v>BOSS 音符普通路线接入比例</x:v>
      </x:c>
      <x:c r="B13" s="11" t="n">
        <x:v>0.05</x:v>
      </x:c>
      <x:c r="C13" s="12" t="n">
        <x:v>0.05</x:v>
      </x:c>
      <x:c r="D13" s="6" t="str">
        <x:v>比例</x:v>
      </x:c>
      <x:c r="E13" s="6" t="str">
        <x:v>0～0.2</x:v>
      </x:c>
      <x:c r="F13" s="12" t="n">
        <x:v>0.01</x:v>
      </x:c>
      <x:c r="G13" s="8" t="str">
        <x:v>0 为普通出生点，1 为判定点；默认 0.05 保留 95% 普通接近路线，长路线自动提前发射。</x:v>
      </x:c>
      <x:c r="H13" s="6" t="str">
        <x:v>boss</x:v>
      </x:c>
      <x:c r="I13" s="6" t="str">
        <x:v>route_join_ratio</x:v>
      </x:c>
      <x:c r="J13" s="6" t="str">
        <x:v>src/runtime/director/boss_emission_path.gd</x:v>
      </x:c>
    </x:row>
  </x:sheetData>
  <x:dataValidations count="8">
    <x:dataValidation type="decimal" operator="between" sqref="B6">
      <x:formula1>0</x:formula1>
      <x:formula2>2</x:formula2>
    </x:dataValidation>
    <x:dataValidation type="decimal" operator="between" sqref="B7">
      <x:formula1>0.5</x:formula1>
      <x:formula2>1.5</x:formula2>
    </x:dataValidation>
    <x:dataValidation type="decimal" operator="between" sqref="B8">
      <x:formula1>0.25</x:formula1>
      <x:formula2>2</x:formula2>
    </x:dataValidation>
    <x:dataValidation type="decimal" operator="between" sqref="B9">
      <x:formula1>0.05</x:formula1>
      <x:formula2>2</x:formula2>
    </x:dataValidation>
    <x:dataValidation type="decimal" operator="between" sqref="B10">
      <x:formula1>100</x:formula1>
      <x:formula2>3000</x:formula2>
    </x:dataValidation>
    <x:dataValidation type="decimal" operator="between" sqref="B11">
      <x:formula1>0</x:formula1>
      <x:formula2>60</x:formula2>
    </x:dataValidation>
    <x:dataValidation type="decimal" operator="between" sqref="B12">
      <x:formula1>1</x:formula1>
      <x:formula2>3</x:formula2>
    </x:dataValidation>
    <x:dataValidation type="decimal" operator="between" sqref="B13">
      <x:formula1>0</x:formula1>
      <x:formula2>0.2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UI 火框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修改黄色当前值，重新打开 UI 火框审看场景后生效；本轮尚未替换正式界面。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2" t="str">
        <x:v>参数</x:v>
      </x:c>
      <x:c r="B5" s="72" t="str">
        <x:v>当前值</x:v>
      </x:c>
      <x:c r="C5" s="72" t="str">
        <x:v>原型默认</x:v>
      </x:c>
      <x:c r="D5" s="72" t="str">
        <x:v>单位</x:v>
      </x:c>
      <x:c r="E5" s="72" t="str">
        <x:v>建议试调区间</x:v>
      </x:c>
      <x:c r="F5" s="72" t="str">
        <x:v>每次建议改动</x:v>
      </x:c>
      <x:c r="G5" s="72" t="str">
        <x:v>作用与注意事项</x:v>
      </x:c>
      <x:c r="H5" s="72" t="str">
        <x:v>配置对象</x:v>
      </x:c>
      <x:c r="I5" s="72" t="str">
        <x:v>字段名</x:v>
      </x:c>
      <x:c r="J5" s="72" t="str">
        <x:v>来源（Game 内）</x:v>
      </x:c>
    </x:row>
    <x:row r="6" ht="46" customHeight="1">
      <x:c r="A6" s="6" t="str">
        <x:v>火势高度</x:v>
      </x:c>
      <x:c r="B6" s="21" t="n">
        <x:v>48</x:v>
      </x:c>
      <x:c r="C6" s="20" t="n">
        <x:v>48</x:v>
      </x:c>
      <x:c r="D6" s="6" t="str">
        <x:v>设计 px</x:v>
      </x:c>
      <x:c r="E6" s="6" t="str">
        <x:v>24～72</x:v>
      </x:c>
      <x:c r="F6" s="10" t="n">
        <x:v>2</x:v>
      </x:c>
      <x:c r="G6" s="8" t="str">
        <x:v>控制火舌的基准高度；根部固定，焰身持续上窜，少数火簇较大、其余细短。调节时环带透明边距同步更新，不拉伸整张原图。</x:v>
      </x:c>
      <x:c r="H6" s="6" t="str">
        <x:v>ui_flame</x:v>
      </x:c>
      <x:c r="I6" s="6" t="str">
        <x:v>flame_height</x:v>
      </x:c>
      <x:c r="J6" s="6" t="str">
        <x:v>src/presentation/ui/flame_frame_visual.gd</x:v>
      </x:c>
    </x:row>
    <x:row r="7" ht="46" customHeight="1">
      <x:c r="A7" s="6" t="str">
        <x:v>燃烧速度</x:v>
      </x:c>
      <x:c r="B7" s="21" t="n">
        <x:v>90</x:v>
      </x:c>
      <x:c r="C7" s="20" t="n">
        <x:v>90</x:v>
      </x:c>
      <x:c r="D7" s="6" t="str">
        <x:v>设计 px/s</x:v>
      </x:c>
      <x:c r="E7" s="6" t="str">
        <x:v>0～180</x:v>
      </x:c>
      <x:c r="F7" s="10" t="n">
        <x:v>5</x:v>
      </x:c>
      <x:c r="G7" s="8" t="str">
        <x:v>控制焰身上窜、卷动与尖端消退的时间速度；0冻结，红蓝共用同一运动规律。</x:v>
      </x:c>
      <x:c r="H7" s="6" t="str">
        <x:v>ui_flame</x:v>
      </x:c>
      <x:c r="I7" s="6" t="str">
        <x:v>speed</x:v>
      </x:c>
      <x:c r="J7" s="6" t="str">
        <x:v>src/presentation/ui/flame_frame_visual.gd</x:v>
      </x:c>
    </x:row>
    <x:row r="8" ht="46" customHeight="1">
      <x:c r="A8" s="6" t="str">
        <x:v>柔晕强度</x:v>
      </x:c>
      <x:c r="B8" s="21" t="n">
        <x:v>1</x:v>
      </x:c>
      <x:c r="C8" s="20" t="n">
        <x:v>1</x:v>
      </x:c>
      <x:c r="D8" s="6" t="str">
        <x:v>倍</x:v>
      </x:c>
      <x:c r="E8" s="6" t="str">
        <x:v>0～2</x:v>
      </x:c>
      <x:c r="F8" s="20" t="n">
        <x:v>0.1</x:v>
      </x:c>
      <x:c r="G8" s="8" t="str">
        <x:v>只调节局部外晕及八个附属火尖；0保留主要火焰，不改变文字或背景亮度。</x:v>
      </x:c>
      <x:c r="H8" s="6" t="str">
        <x:v>ui_flame</x:v>
      </x:c>
      <x:c r="I8" s="6" t="str">
        <x:v>glow_strength</x:v>
      </x:c>
      <x:c r="J8" s="6" t="str">
        <x:v>src/presentation/ui/flame_frame_visual.gd</x:v>
      </x:c>
    </x:row>
  </x:sheetData>
  <x:dataValidations count="3">
    <x:dataValidation type="decimal" operator="between" sqref="B6">
      <x:formula1>24</x:formula1>
      <x:formula2>72</x:formula2>
    </x:dataValidation>
    <x:dataValidation type="decimal" operator="between" sqref="B7">
      <x:formula1>0</x:formula1>
      <x:formula2>180</x:formula2>
    </x:dataValidation>
    <x:dataValidation type="decimal" operator="between" sqref="B8">
      <x:formula1>0</x:formula1>
      <x:formula2>2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关卡奖励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修改黄色当前值，下次正式装载生效。玄同收服、至臻进阶；不会撤回既有奖励。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83" t="str">
        <x:v>参数</x:v>
      </x:c>
      <x:c r="B5" s="83" t="str">
        <x:v>当前值</x:v>
      </x:c>
      <x:c r="C5" s="83" t="str">
        <x:v>原型默认</x:v>
      </x:c>
      <x:c r="D5" s="83" t="str">
        <x:v>单位</x:v>
      </x:c>
      <x:c r="E5" s="83" t="str">
        <x:v>建议试调区间</x:v>
      </x:c>
      <x:c r="F5" s="83" t="str">
        <x:v>每次建议改动</x:v>
      </x:c>
      <x:c r="G5" s="83" t="str">
        <x:v>作用与注意事项</x:v>
      </x:c>
      <x:c r="H5" s="83" t="str">
        <x:v>配置对象</x:v>
      </x:c>
      <x:c r="I5" s="83" t="str">
        <x:v>字段名</x:v>
      </x:c>
      <x:c r="J5" s="83" t="str">
        <x:v>来源（Game 内）</x:v>
      </x:c>
    </x:row>
    <x:row r="6" ht="46" customHeight="1">
      <x:c r="A6" s="6" t="str">
        <x:v>女土蝠 · 下一关</x:v>
      </x:c>
      <x:c r="B6" s="50" t="str">
        <x:v>level2</x:v>
      </x:c>
      <x:c r="C6" s="47" t="str">
        <x:v>level2</x:v>
      </x:c>
      <x:c r="D6" s="6" t="str">
        <x:v>关卡 ID</x:v>
      </x:c>
      <x:c r="E6" s="6" t="str">
        <x:v>已登记关卡 ID / 留空</x:v>
      </x:c>
      <x:c r="F6" s="10" t="n">
        <x:v>0</x:v>
      </x:c>
      <x:c r="G6" s="8" t="str">
        <x:v>默认只有钟开放；钟通关解锁火，火通关解锁牲。通关不要求玄同或至臻；失败不解锁，已获解锁保留。下一关使用稳定 ID，末关留空。</x:v>
      </x:c>
      <x:c r="H6" s="6" t="str">
        <x:v>reward:tutorial2</x:v>
      </x:c>
      <x:c r="I6" s="6" t="str">
        <x:v>next_stage_id</x:v>
      </x:c>
      <x:c r="J6" s="6" t="str">
        <x:v>content/stages/tutorial2/reward.tres</x:v>
      </x:c>
    </x:row>
    <x:row r="7" ht="46" customHeight="1">
      <x:c r="A7" s="6" t="str">
        <x:v>女土蝠 · 玄同收服</x:v>
      </x:c>
      <x:c r="B7" s="9" t="n">
        <x:v>1</x:v>
      </x:c>
      <x:c r="C7" s="10" t="n">
        <x:v>1</x:v>
      </x:c>
      <x:c r="D7" s="6" t="str">
        <x:v>开关</x:v>
      </x:c>
      <x:c r="E7" s="6" t="str">
        <x:v>0 / 1</x:v>
      </x:c>
      <x:c r="F7" s="10" t="n">
        <x:v>1</x:v>
      </x:c>
      <x:c r="G7" s="8" t="str">
        <x:v>玄同授予本关对应随从的基础形态。0 关闭，1 开启；不撤回已经获得的随从。</x:v>
      </x:c>
      <x:c r="H7" s="6" t="str">
        <x:v>reward:tutorial2</x:v>
      </x:c>
      <x:c r="I7" s="6" t="str">
        <x:v>fc_grants_base_pet</x:v>
      </x:c>
      <x:c r="J7" s="6" t="str">
        <x:v>content/stages/tutorial2/reward.tres</x:v>
      </x:c>
    </x:row>
    <x:row r="8" ht="46" customHeight="1">
      <x:c r="A8" s="6" t="str">
        <x:v>女土蝠 · 至臻进阶</x:v>
      </x:c>
      <x:c r="B8" s="9" t="n">
        <x:v>1</x:v>
      </x:c>
      <x:c r="C8" s="10" t="n">
        <x:v>1</x:v>
      </x:c>
      <x:c r="D8" s="6" t="str">
        <x:v>开关</x:v>
      </x:c>
      <x:c r="E8" s="6" t="str">
        <x:v>0 / 1</x:v>
      </x:c>
      <x:c r="F8" s="10" t="n">
        <x:v>1</x:v>
      </x:c>
      <x:c r="G8" s="8" t="str">
        <x:v>至臻授予本关对应随从的进阶形态，并保证已收服。0 关闭，1 开启。</x:v>
      </x:c>
      <x:c r="H8" s="6" t="str">
        <x:v>reward:tutorial2</x:v>
      </x:c>
      <x:c r="I8" s="6" t="str">
        <x:v>ap_grants_advanced_pet</x:v>
      </x:c>
      <x:c r="J8" s="6" t="str">
        <x:v>content/stages/tutorial2/reward.tres</x:v>
      </x:c>
    </x:row>
    <x:row r="9" ht="46" customHeight="1">
      <x:c r="A9" s="6" t="str">
        <x:v>翼火蛇 · 下一关</x:v>
      </x:c>
      <x:c r="B9" s="50" t="str">
        <x:v>level3</x:v>
      </x:c>
      <x:c r="C9" s="47" t="str">
        <x:v>level3</x:v>
      </x:c>
      <x:c r="D9" s="6" t="str">
        <x:v>关卡 ID</x:v>
      </x:c>
      <x:c r="E9" s="6" t="str">
        <x:v>已登记关卡 ID / 留空</x:v>
      </x:c>
      <x:c r="F9" s="10" t="n">
        <x:v>0</x:v>
      </x:c>
      <x:c r="G9" s="8" t="str">
        <x:v>默认只有钟开放；钟通关解锁火，火通关解锁牲。通关不要求玄同或至臻；失败不解锁，已获解锁保留。下一关使用稳定 ID，末关留空。</x:v>
      </x:c>
      <x:c r="H9" s="6" t="str">
        <x:v>reward:level2</x:v>
      </x:c>
      <x:c r="I9" s="6" t="str">
        <x:v>next_stage_id</x:v>
      </x:c>
      <x:c r="J9" s="6" t="str">
        <x:v>content/stages/level2/reward.tres</x:v>
      </x:c>
    </x:row>
    <x:row r="10" ht="46" customHeight="1">
      <x:c r="A10" s="6" t="str">
        <x:v>翼火蛇 · 玄同收服</x:v>
      </x:c>
      <x:c r="B10" s="9" t="n">
        <x:v>1</x:v>
      </x:c>
      <x:c r="C10" s="10" t="n">
        <x:v>1</x:v>
      </x:c>
      <x:c r="D10" s="6" t="str">
        <x:v>开关</x:v>
      </x:c>
      <x:c r="E10" s="6" t="str">
        <x:v>0 / 1</x:v>
      </x:c>
      <x:c r="F10" s="10" t="n">
        <x:v>1</x:v>
      </x:c>
      <x:c r="G10" s="8" t="str">
        <x:v>玄同授予本关对应随从的基础形态。0 关闭，1 开启；不撤回已经获得的随从。</x:v>
      </x:c>
      <x:c r="H10" s="6" t="str">
        <x:v>reward:level2</x:v>
      </x:c>
      <x:c r="I10" s="6" t="str">
        <x:v>fc_grants_base_pet</x:v>
      </x:c>
      <x:c r="J10" s="6" t="str">
        <x:v>content/stages/level2/reward.tres</x:v>
      </x:c>
    </x:row>
    <x:row r="11" ht="46" customHeight="1">
      <x:c r="A11" s="6" t="str">
        <x:v>翼火蛇 · 至臻进阶</x:v>
      </x:c>
      <x:c r="B11" s="9" t="n">
        <x:v>1</x:v>
      </x:c>
      <x:c r="C11" s="10" t="n">
        <x:v>1</x:v>
      </x:c>
      <x:c r="D11" s="6" t="str">
        <x:v>开关</x:v>
      </x:c>
      <x:c r="E11" s="6" t="str">
        <x:v>0 / 1</x:v>
      </x:c>
      <x:c r="F11" s="10" t="n">
        <x:v>1</x:v>
      </x:c>
      <x:c r="G11" s="8" t="str">
        <x:v>至臻授予本关对应随从的进阶形态，并保证已收服。0 关闭，1 开启。</x:v>
      </x:c>
      <x:c r="H11" s="6" t="str">
        <x:v>reward:level2</x:v>
      </x:c>
      <x:c r="I11" s="6" t="str">
        <x:v>ap_grants_advanced_pet</x:v>
      </x:c>
      <x:c r="J11" s="6" t="str">
        <x:v>content/stages/level2/reward.tres</x:v>
      </x:c>
    </x:row>
    <x:row r="12" ht="46" customHeight="1">
      <x:c r="A12" s="6" t="str">
        <x:v>鬼金羊 · 下一关</x:v>
      </x:c>
      <x:c r="B12" s="50"/>
      <x:c r="C12" s="47" t="str"/>
      <x:c r="D12" s="6" t="str">
        <x:v>关卡 ID</x:v>
      </x:c>
      <x:c r="E12" s="6" t="str">
        <x:v>已登记关卡 ID / 留空</x:v>
      </x:c>
      <x:c r="F12" s="10" t="n">
        <x:v>0</x:v>
      </x:c>
      <x:c r="G12" s="8" t="str">
        <x:v>默认只有钟开放；钟通关解锁火，火通关解锁牲。通关不要求玄同或至臻；失败不解锁，已获解锁保留。下一关使用稳定 ID，末关留空。</x:v>
      </x:c>
      <x:c r="H12" s="6" t="str">
        <x:v>reward:level3</x:v>
      </x:c>
      <x:c r="I12" s="6" t="str">
        <x:v>next_stage_id</x:v>
      </x:c>
      <x:c r="J12" s="6" t="str">
        <x:v>content/stages/level3/reward.tres</x:v>
      </x:c>
    </x:row>
    <x:row r="13" ht="46" customHeight="1">
      <x:c r="A13" s="6" t="str">
        <x:v>鬼金羊 · 玄同收服</x:v>
      </x:c>
      <x:c r="B13" s="9" t="n">
        <x:v>1</x:v>
      </x:c>
      <x:c r="C13" s="10" t="n">
        <x:v>1</x:v>
      </x:c>
      <x:c r="D13" s="6" t="str">
        <x:v>开关</x:v>
      </x:c>
      <x:c r="E13" s="6" t="str">
        <x:v>0 / 1</x:v>
      </x:c>
      <x:c r="F13" s="10" t="n">
        <x:v>1</x:v>
      </x:c>
      <x:c r="G13" s="8" t="str">
        <x:v>玄同授予本关对应随从的基础形态。0 关闭，1 开启；不撤回已经获得的随从。</x:v>
      </x:c>
      <x:c r="H13" s="6" t="str">
        <x:v>reward:level3</x:v>
      </x:c>
      <x:c r="I13" s="6" t="str">
        <x:v>fc_grants_base_pet</x:v>
      </x:c>
      <x:c r="J13" s="6" t="str">
        <x:v>content/stages/level3/reward.tres</x:v>
      </x:c>
    </x:row>
    <x:row r="14" ht="46" customHeight="1">
      <x:c r="A14" s="6" t="str">
        <x:v>鬼金羊 · 至臻进阶</x:v>
      </x:c>
      <x:c r="B14" s="9" t="n">
        <x:v>1</x:v>
      </x:c>
      <x:c r="C14" s="10" t="n">
        <x:v>1</x:v>
      </x:c>
      <x:c r="D14" s="6" t="str">
        <x:v>开关</x:v>
      </x:c>
      <x:c r="E14" s="6" t="str">
        <x:v>0 / 1</x:v>
      </x:c>
      <x:c r="F14" s="10" t="n">
        <x:v>1</x:v>
      </x:c>
      <x:c r="G14" s="8" t="str">
        <x:v>至臻授予本关对应随从的进阶形态，并保证已收服。0 关闭，1 开启。</x:v>
      </x:c>
      <x:c r="H14" s="6" t="str">
        <x:v>reward:level3</x:v>
      </x:c>
      <x:c r="I14" s="6" t="str">
        <x:v>ap_grants_advanced_pet</x:v>
      </x:c>
      <x:c r="J14" s="6" t="str">
        <x:v>content/stages/level3/reward.tres</x:v>
      </x:c>
    </x:row>
  </x:sheetData>
  <x:dataValidations count="6">
    <x:dataValidation type="whole" operator="between" sqref="B7">
      <x:formula1>0</x:formula1>
      <x:formula2>1</x:formula2>
    </x:dataValidation>
    <x:dataValidation type="whole" operator="between" sqref="B8">
      <x:formula1>0</x:formula1>
      <x:formula2>1</x:formula2>
    </x:dataValidation>
    <x:dataValidation type="whole" operator="between" sqref="B10">
      <x:formula1>0</x:formula1>
      <x:formula2>1</x:formula2>
    </x:dataValidation>
    <x:dataValidation type="whole" operator="between" sqref="B11">
      <x:formula1>0</x:formula1>
      <x:formula2>1</x:formula2>
    </x:dataValidation>
    <x:dataValidation type="whole" operator="between" sqref="B13">
      <x:formula1>0</x:formula1>
      <x:formula2>1</x:formula2>
    </x:dataValidation>
    <x:dataValidation type="whole" operator="between" sqref="B14">
      <x:formula1>0</x:formula1>
      <x:formula2>1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开屏引导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修改黄色当前值，下次启动正式游戏生效；操作说明由玩家确认后继续。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91" t="str">
        <x:v>参数</x:v>
      </x:c>
      <x:c r="B5" s="91" t="str">
        <x:v>当前值</x:v>
      </x:c>
      <x:c r="C5" s="91" t="str">
        <x:v>原型默认</x:v>
      </x:c>
      <x:c r="D5" s="91" t="str">
        <x:v>单位</x:v>
      </x:c>
      <x:c r="E5" s="91" t="str">
        <x:v>建议试调区间</x:v>
      </x:c>
      <x:c r="F5" s="91" t="str">
        <x:v>每次建议改动</x:v>
      </x:c>
      <x:c r="G5" s="91" t="str">
        <x:v>作用与注意事项</x:v>
      </x:c>
      <x:c r="H5" s="91" t="str">
        <x:v>配置对象</x:v>
      </x:c>
      <x:c r="I5" s="91" t="str">
        <x:v>字段名</x:v>
      </x:c>
      <x:c r="J5" s="91" t="str">
        <x:v>来源（Game 内）</x:v>
      </x:c>
    </x:row>
    <x:row r="6" ht="46" customHeight="1">
      <x:c r="A6" s="6" t="str">
        <x:v>页面淡入</x:v>
      </x:c>
      <x:c r="B6" s="21" t="n">
        <x:v>0.6</x:v>
      </x:c>
      <x:c r="C6" s="20" t="n">
        <x:v>0.6</x:v>
      </x:c>
      <x:c r="D6" s="6" t="str">
        <x:v>秒</x:v>
      </x:c>
      <x:c r="E6" s="6" t="str">
        <x:v>0.3～1</x:v>
      </x:c>
      <x:c r="F6" s="20" t="n">
        <x:v>0.1</x:v>
      </x:c>
      <x:c r="G6" s="8" t="str">
        <x:v>MEMO、耳机提示、操作说明的淡入时长。</x:v>
      </x:c>
      <x:c r="H6" s="6" t="str">
        <x:v>ui_guides</x:v>
      </x:c>
      <x:c r="I6" s="6" t="str">
        <x:v>fade_in_sec</x:v>
      </x:c>
      <x:c r="J6" s="6" t="str">
        <x:v>src/app/ui/boot_splash.gd</x:v>
      </x:c>
    </x:row>
    <x:row r="7" ht="46" customHeight="1">
      <x:c r="A7" s="6" t="str">
        <x:v>MEMO 停留</x:v>
      </x:c>
      <x:c r="B7" s="21" t="n">
        <x:v>1.2</x:v>
      </x:c>
      <x:c r="C7" s="20" t="n">
        <x:v>1.2</x:v>
      </x:c>
      <x:c r="D7" s="6" t="str">
        <x:v>秒</x:v>
      </x:c>
      <x:c r="E7" s="6" t="str">
        <x:v>1～3</x:v>
      </x:c>
      <x:c r="F7" s="20" t="n">
        <x:v>0.1</x:v>
      </x:c>
      <x:c r="G7" s="8" t="str">
        <x:v>工作室图样完整显示后的停留时长，之后显示耳机提示。</x:v>
      </x:c>
      <x:c r="H7" s="6" t="str">
        <x:v>ui_guides</x:v>
      </x:c>
      <x:c r="I7" s="6" t="str">
        <x:v>hold_sec</x:v>
      </x:c>
      <x:c r="J7" s="6" t="str">
        <x:v>src/app/ui/boot_splash.gd</x:v>
      </x:c>
    </x:row>
    <x:row r="8" ht="46" customHeight="1">
      <x:c r="A8" s="6" t="str">
        <x:v>页面淡出</x:v>
      </x:c>
      <x:c r="B8" s="21" t="n">
        <x:v>0.6</x:v>
      </x:c>
      <x:c r="C8" s="20" t="n">
        <x:v>0.6</x:v>
      </x:c>
      <x:c r="D8" s="6" t="str">
        <x:v>秒</x:v>
      </x:c>
      <x:c r="E8" s="6" t="str">
        <x:v>0.3～1</x:v>
      </x:c>
      <x:c r="F8" s="20" t="n">
        <x:v>0.1</x:v>
      </x:c>
      <x:c r="G8" s="8" t="str">
        <x:v>MEMO、耳机提示、操作说明的淡出时长；最后另有固定 0.3 秒黑场过渡。</x:v>
      </x:c>
      <x:c r="H8" s="6" t="str">
        <x:v>ui_guides</x:v>
      </x:c>
      <x:c r="I8" s="6" t="str">
        <x:v>fade_out_sec</x:v>
      </x:c>
      <x:c r="J8" s="6" t="str">
        <x:v>src/app/ui/boot_splash.gd</x:v>
      </x:c>
    </x:row>
    <x:row r="9" ht="46" customHeight="1">
      <x:c r="A9" s="6" t="str">
        <x:v>耳机提示停留</x:v>
      </x:c>
      <x:c r="B9" s="21" t="n">
        <x:v>2.4</x:v>
      </x:c>
      <x:c r="C9" s="20" t="n">
        <x:v>2.4</x:v>
      </x:c>
      <x:c r="D9" s="6" t="str">
        <x:v>秒</x:v>
      </x:c>
      <x:c r="E9" s="6" t="str">
        <x:v>2～4</x:v>
      </x:c>
      <x:c r="F9" s="20" t="n">
        <x:v>0.1</x:v>
      </x:c>
      <x:c r="G9" s="8" t="str">
        <x:v>耳机图样和提示语完整显示后的停留时长；操作说明没有自动关闭倒计时。</x:v>
      </x:c>
      <x:c r="H9" s="6" t="str">
        <x:v>ui_guides</x:v>
      </x:c>
      <x:c r="I9" s="6" t="str">
        <x:v>headphones_hold_sec</x:v>
      </x:c>
      <x:c r="J9" s="6" t="str">
        <x:v>src/app/ui/boot_splash.gd</x:v>
      </x:c>
    </x:row>
  </x:sheetData>
  <x:dataValidations count="4">
    <x:dataValidation type="decimal" operator="between" sqref="B6">
      <x:formula1>0.1</x:formula1>
      <x:formula2>2</x:formula2>
    </x:dataValidation>
    <x:dataValidation type="decimal" operator="between" sqref="B7">
      <x:formula1>0.1</x:formula1>
      <x:formula2>8</x:formula2>
    </x:dataValidation>
    <x:dataValidation type="decimal" operator="between" sqref="B8">
      <x:formula1>0.1</x:formula1>
      <x:formula2>2</x:formula2>
    </x:dataValidation>
    <x:dataValidation type="decimal" operator="between" sqref="B9">
      <x:formula1>0.1</x:formula1>
      <x:formula2>10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判定表现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97" t="str">
        <x:v>参数</x:v>
      </x:c>
      <x:c r="B5" s="97" t="str">
        <x:v>当前值</x:v>
      </x:c>
      <x:c r="C5" s="97" t="str">
        <x:v>原型默认</x:v>
      </x:c>
      <x:c r="D5" s="97" t="str">
        <x:v>单位</x:v>
      </x:c>
      <x:c r="E5" s="97" t="str">
        <x:v>建议试调区间</x:v>
      </x:c>
      <x:c r="F5" s="97" t="str">
        <x:v>每次建议改动</x:v>
      </x:c>
      <x:c r="G5" s="97" t="str">
        <x:v>作用与注意事项</x:v>
      </x:c>
      <x:c r="H5" s="97" t="str">
        <x:v>配置对象</x:v>
      </x:c>
      <x:c r="I5" s="97" t="str">
        <x:v>字段名</x:v>
      </x:c>
      <x:c r="J5" s="97" t="str">
        <x:v>来源（Game 内）</x:v>
      </x:c>
    </x:row>
    <x:row r="6" ht="46" customHeight="1">
      <x:c r="A6" s="6" t="str">
        <x:v>判定字形基准高度</x:v>
      </x:c>
      <x:c r="B6" s="21" t="n">
        <x:v>480</x:v>
      </x:c>
      <x:c r="C6" s="20" t="n">
        <x:v>480</x:v>
      </x:c>
      <x:c r="D6" s="6" t="str">
        <x:v>设计 px</x:v>
      </x:c>
      <x:c r="E6" s="6" t="str">
        <x:v>448～496</x:v>
      </x:c>
      <x:c r="F6" s="10" t="n">
        <x:v>1</x:v>
      </x:c>
      <x:c r="G6" s="8" t="str">
        <x:v>实体笔画等高归一；乘现有 scale=0.25，默认实际高度 120 px，略小于 132 px 判定圈。</x:v>
      </x:c>
      <x:c r="H6" s="6" t="str">
        <x:v>judgment</x:v>
      </x:c>
      <x:c r="I6" s="6" t="str">
        <x:v>glyph_height</x:v>
      </x:c>
      <x:c r="J6" s="6" t="str">
        <x:v>src/content/resources/judgment_texture_set.gd</x:v>
      </x:c>
    </x:row>
    <x:row r="7" ht="46" customHeight="1">
      <x:c r="A7" s="6" t="str">
        <x:v>判定不透明度</x:v>
      </x:c>
      <x:c r="B7" s="11" t="n">
        <x:v>0.7</x:v>
      </x:c>
      <x:c r="C7" s="12" t="n">
        <x:v>0.7</x:v>
      </x:c>
      <x:c r="D7" s="6" t="str">
        <x:v>比例</x:v>
      </x:c>
      <x:c r="E7" s="6" t="str">
        <x:v>0.5～0.8</x:v>
      </x:c>
      <x:c r="F7" s="12" t="n">
        <x:v>0.05</x:v>
      </x:c>
      <x:c r="G7" s="8" t="str">
        <x:v>字形和对应光效的最终透明度上限，随原有判定动画淡出。</x:v>
      </x:c>
      <x:c r="H7" s="6" t="str">
        <x:v>judgment</x:v>
      </x:c>
      <x:c r="I7" s="6" t="str">
        <x:v>opacity</x:v>
      </x:c>
      <x:c r="J7" s="6" t="str">
        <x:v>src/content/resources/judgment_texture_set.gd</x:v>
      </x:c>
    </x:row>
    <x:row r="8" ht="46" customHeight="1">
      <x:c r="A8" s="6" t="str">
        <x:v>判定柔光半径</x:v>
      </x:c>
      <x:c r="B8" s="21" t="n">
        <x:v>12</x:v>
      </x:c>
      <x:c r="C8" s="20" t="n">
        <x:v>12</x:v>
      </x:c>
      <x:c r="D8" s="6" t="str">
        <x:v>设计 px</x:v>
      </x:c>
      <x:c r="E8" s="6" t="str">
        <x:v>8～18</x:v>
      </x:c>
      <x:c r="F8" s="10" t="n">
        <x:v>1</x:v>
      </x:c>
      <x:c r="G8" s="8" t="str">
        <x:v>实体笔触外侧的柔光范围；边距自动预留，不裁切。</x:v>
      </x:c>
      <x:c r="H8" s="6" t="str">
        <x:v>judgment</x:v>
      </x:c>
      <x:c r="I8" s="6" t="str">
        <x:v>glow_radius_px</x:v>
      </x:c>
      <x:c r="J8" s="6" t="str">
        <x:v>src/content/resources/judgment_texture_set.gd</x:v>
      </x:c>
    </x:row>
    <x:row r="9" ht="46" customHeight="1">
      <x:c r="A9" s="6" t="str">
        <x:v>判定柔光强度</x:v>
      </x:c>
      <x:c r="B9" s="21" t="n">
        <x:v>1.5</x:v>
      </x:c>
      <x:c r="C9" s="20" t="n">
        <x:v>1.5</x:v>
      </x:c>
      <x:c r="D9" s="6" t="str">
        <x:v>倍率</x:v>
      </x:c>
      <x:c r="E9" s="6" t="str">
        <x:v>1～2</x:v>
      </x:c>
      <x:c r="F9" s="20" t="n">
        <x:v>0.1</x:v>
      </x:c>
      <x:c r="G9" s="8" t="str">
        <x:v>同色柔光强度，0 关闭；不会把实体透明度叠加至 70% 以上。</x:v>
      </x:c>
      <x:c r="H9" s="6" t="str">
        <x:v>judgment</x:v>
      </x:c>
      <x:c r="I9" s="6" t="str">
        <x:v>glow_strength</x:v>
      </x:c>
      <x:c r="J9" s="6" t="str">
        <x:v>src/content/resources/judgment_texture_set.gd</x:v>
      </x:c>
    </x:row>
    <x:row r="10" ht="46" customHeight="1">
      <x:c r="A10" s="6" t="str">
        <x:v>臻 · 橙黄色</x:v>
      </x:c>
      <x:c r="B10" s="50" t="str">
        <x:v>#ffba48</x:v>
      </x:c>
      <x:c r="C10" s="47" t="str">
        <x:v>#ffba48</x:v>
      </x:c>
      <x:c r="D10" s="6" t="str">
        <x:v>颜色</x:v>
      </x:c>
      <x:c r="E10" s="6" t="str">
        <x:v>#RRGGBB</x:v>
      </x:c>
      <x:c r="F10" s="10" t="n">
        <x:v>0</x:v>
      </x:c>
      <x:c r="G10" s="8" t="str">
        <x:v>实体笔画及柔晕共用的颜色；保留原图笔画形状，去除原有异色低透明光晕。</x:v>
      </x:c>
      <x:c r="H10" s="6" t="str">
        <x:v>judgment</x:v>
      </x:c>
      <x:c r="I10" s="6" t="str">
        <x:v>perfect_color</x:v>
      </x:c>
      <x:c r="J10" s="6" t="str">
        <x:v>src/content/resources/judgment_texture_set.gd</x:v>
      </x:c>
    </x:row>
    <x:row r="11" ht="46" customHeight="1">
      <x:c r="A11" s="6" t="str">
        <x:v>良 · 绿色</x:v>
      </x:c>
      <x:c r="B11" s="50" t="str">
        <x:v>#77d68d</x:v>
      </x:c>
      <x:c r="C11" s="47" t="str">
        <x:v>#77d68d</x:v>
      </x:c>
      <x:c r="D11" s="6" t="str">
        <x:v>颜色</x:v>
      </x:c>
      <x:c r="E11" s="6" t="str">
        <x:v>#RRGGBB</x:v>
      </x:c>
      <x:c r="F11" s="10" t="n">
        <x:v>0</x:v>
      </x:c>
      <x:c r="G11" s="8" t="str">
        <x:v>实体笔画及柔晕共用的颜色；保留原图笔画形状，去除原有异色低透明光晕。</x:v>
      </x:c>
      <x:c r="H11" s="6" t="str">
        <x:v>judgment</x:v>
      </x:c>
      <x:c r="I11" s="6" t="str">
        <x:v>good_color</x:v>
      </x:c>
      <x:c r="J11" s="6" t="str">
        <x:v>src/content/resources/judgment_texture_set.gd</x:v>
      </x:c>
    </x:row>
    <x:row r="12" ht="46" customHeight="1">
      <x:c r="A12" s="6" t="str">
        <x:v>过 · 灰蓝色</x:v>
      </x:c>
      <x:c r="B12" s="50" t="str">
        <x:v>#8fa7bd</x:v>
      </x:c>
      <x:c r="C12" s="47" t="str">
        <x:v>#8fa7bd</x:v>
      </x:c>
      <x:c r="D12" s="6" t="str">
        <x:v>颜色</x:v>
      </x:c>
      <x:c r="E12" s="6" t="str">
        <x:v>#RRGGBB</x:v>
      </x:c>
      <x:c r="F12" s="10" t="n">
        <x:v>0</x:v>
      </x:c>
      <x:c r="G12" s="8" t="str">
        <x:v>实体笔画及柔晕共用的颜色；保留原图笔画形状，去除原有异色低透明光晕。</x:v>
      </x:c>
      <x:c r="H12" s="6" t="str">
        <x:v>judgment</x:v>
      </x:c>
      <x:c r="I12" s="6" t="str">
        <x:v>pass_color</x:v>
      </x:c>
      <x:c r="J12" s="6" t="str">
        <x:v>src/content/resources/judgment_texture_set.gd</x:v>
      </x:c>
    </x:row>
    <x:row r="13" ht="46" customHeight="1">
      <x:c r="A13" s="6" t="str">
        <x:v>失 · 灰色</x:v>
      </x:c>
      <x:c r="B13" s="50" t="str">
        <x:v>#a5a5a5</x:v>
      </x:c>
      <x:c r="C13" s="47" t="str">
        <x:v>#a5a5a5</x:v>
      </x:c>
      <x:c r="D13" s="6" t="str">
        <x:v>颜色</x:v>
      </x:c>
      <x:c r="E13" s="6" t="str">
        <x:v>#RRGGBB</x:v>
      </x:c>
      <x:c r="F13" s="10" t="n">
        <x:v>0</x:v>
      </x:c>
      <x:c r="G13" s="8" t="str">
        <x:v>实体笔画及柔晕共用的颜色；保留原图笔画形状，去除原有异色低透明光晕。</x:v>
      </x:c>
      <x:c r="H13" s="6" t="str">
        <x:v>judgment</x:v>
      </x:c>
      <x:c r="I13" s="6" t="str">
        <x:v>miss_color</x:v>
      </x:c>
      <x:c r="J13" s="6" t="str">
        <x:v>src/content/resources/judgment_texture_set.gd</x:v>
      </x:c>
    </x:row>
    <x:row r="14" ht="46" customHeight="1">
      <x:c r="A14" s="6" t="str">
        <x:v>判定位置微偏移</x:v>
      </x:c>
      <x:c r="B14" s="21" t="n">
        <x:v>2</x:v>
      </x:c>
      <x:c r="C14" s="20" t="n">
        <x:v>2</x:v>
      </x:c>
      <x:c r="D14" s="6" t="str">
        <x:v>设计 px</x:v>
      </x:c>
      <x:c r="E14" s="6" t="str">
        <x:v>1～3</x:v>
      </x:c>
      <x:c r="F14" s="20" t="n">
        <x:v>0.5</x:v>
      </x:c>
      <x:c r="G14" s="8" t="str">
        <x:v>每次在中心周围圆形范围内随机偏移，整段动画不再移动；0 关闭。同一判定重演位置一致。</x:v>
      </x:c>
      <x:c r="H14" s="6" t="str">
        <x:v>judgment</x:v>
      </x:c>
      <x:c r="I14" s="6" t="str">
        <x:v>position_jitter_px</x:v>
      </x:c>
      <x:c r="J14" s="6" t="str">
        <x:v>src/content/resources/judgment_texture_set.gd</x:v>
      </x:c>
    </x:row>
  </x:sheetData>
  <x:dataValidations count="5">
    <x:dataValidation type="decimal" operator="between" sqref="B6">
      <x:formula1>128</x:formula1>
      <x:formula2>1200</x:formula2>
    </x:dataValidation>
    <x:dataValidation type="decimal" operator="between" sqref="B7">
      <x:formula1>0</x:formula1>
      <x:formula2>1</x:formula2>
    </x:dataValidation>
    <x:dataValidation type="decimal" operator="between" sqref="B8">
      <x:formula1>0</x:formula1>
      <x:formula2>32</x:formula2>
    </x:dataValidation>
    <x:dataValidation type="decimal" operator="between" sqref="B9">
      <x:formula1>0</x:formula1>
      <x:formula2>3</x:formula2>
    </x:dataValidation>
    <x:dataValidation type="decimal" operator="between" sqref="B14">
      <x:formula1>0</x:formula1>
      <x:formula2>8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30" hidden="0" customWidth="1"/>
    <x:col min="6" max="6" width="18" hidden="0" customWidth="1"/>
    <x:col min="7" max="7" width="72" hidden="0" customWidth="1"/>
    <x:col min="8" max="8" width="32" hidden="0" customWidth="1"/>
    <x:col min="9" max="9" width="40" hidden="0" customWidth="1"/>
    <x:col min="10" max="10" width="58" hidden="0" customWidth="1"/>
  </x:cols>
  <x:sheetData>
    <x:row r="2">
      <x:c r="A2" s="2" t="str">
        <x:v>计时与键位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修改黄色“当前值”，保存后重新装载关卡。比例用小数，开关用 0 / 1。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25" t="str">
        <x:v>参数</x:v>
      </x:c>
      <x:c r="B5" s="125" t="str">
        <x:v>当前值</x:v>
      </x:c>
      <x:c r="C5" s="125" t="str">
        <x:v>原型默认</x:v>
      </x:c>
      <x:c r="D5" s="125" t="str">
        <x:v>单位</x:v>
      </x:c>
      <x:c r="E5" s="125" t="str">
        <x:v>建议试调区间</x:v>
      </x:c>
      <x:c r="F5" s="125" t="str">
        <x:v>每次建议改动</x:v>
      </x:c>
      <x:c r="G5" s="125" t="str">
        <x:v>作用与注意事项</x:v>
      </x:c>
      <x:c r="H5" s="125" t="str">
        <x:v>配置对象</x:v>
      </x:c>
      <x:c r="I5" s="125" t="str">
        <x:v>字段名</x:v>
      </x:c>
      <x:c r="J5" s="125" t="str">
        <x:v>来源（Game 内）</x:v>
      </x:c>
    </x:row>
    <x:row r="6" ht="46" customHeight="1">
      <x:c r="A6" s="6" t="str">
        <x:v>判定圈键位不透明度</x:v>
      </x:c>
      <x:c r="B6" s="127" t="n">
        <x:v>0.58</x:v>
      </x:c>
      <x:c r="C6" s="12" t="n">
        <x:v>0.58</x:v>
      </x:c>
      <x:c r="D6" s="6" t="str">
        <x:v>比例</x:v>
      </x:c>
      <x:c r="E6" s="6" t="str">
        <x:v>45%～70%</x:v>
      </x:c>
      <x:c r="F6" s="12" t="n">
        <x:v>0.02</x:v>
      </x:c>
      <x:c r="G6" s="8" t="str">
        <x:v>数值越大越实、越不透明；仅影响判定圈旁的按键提示，不改变判定圈与调频摇杆帽。</x:v>
      </x:c>
      <x:c r="H6" s="6" t="str">
        <x:v>timing_cue</x:v>
      </x:c>
      <x:c r="I6" s="6" t="str">
        <x:v>gate_glyph_opacity</x:v>
      </x:c>
      <x:c r="J6" s="6" t="str">
        <x:v>src/content/resources/timing_cue_style.gd</x:v>
      </x:c>
    </x:row>
    <x:row r="7" ht="46" customHeight="1">
      <x:c r="A7" s="6" t="str">
        <x:v>判定圈键位柔光强度</x:v>
      </x:c>
      <x:c r="B7" s="128" t="n">
        <x:v>0.28</x:v>
      </x:c>
      <x:c r="C7" s="20" t="n">
        <x:v>0.28</x:v>
      </x:c>
      <x:c r="D7" s="6" t="str">
        <x:v>强度</x:v>
      </x:c>
      <x:c r="E7" s="6" t="str">
        <x:v>0.15～0.4</x:v>
      </x:c>
      <x:c r="F7" s="20" t="n">
        <x:v>0.02</x:v>
      </x:c>
      <x:c r="G7" s="8" t="str">
        <x:v>增强按键提示外侧柔光；光晕范围保持 6 px，色板沿用所属阵营。</x:v>
      </x:c>
      <x:c r="H7" s="6" t="str">
        <x:v>timing_cue</x:v>
      </x:c>
      <x:c r="I7" s="6" t="str">
        <x:v>gate_glyph_glow_strength</x:v>
      </x:c>
      <x:c r="J7" s="6" t="str">
        <x:v>src/content/resources/timing_cue_style.gd</x:v>
      </x:c>
    </x:row>
  </x:sheetData>
  <x:dataValidations count="2">
    <x:dataValidation type="decimal" operator="between" sqref="B6">
      <x:formula1>0</x:formula1>
      <x:formula2>1</x:formula2>
    </x:dataValidation>
    <x:dataValidation type="decimal" operator="between" sqref="B7">
      <x:formula1>0</x:formula1>
      <x:formula2>1</x:formula2>
    </x:dataValidation>
  </x:dataValidations>
  <x:pageMargins left="0.7" right="0.7" top="0.75" bottom="0.75" header="0.3" footer="0.3"/>
</x:worksheet>
</file>