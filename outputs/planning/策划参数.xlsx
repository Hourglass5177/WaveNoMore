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4237280eba42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c61775e9c8e74b76"/>
    <x:sheet xmlns:r="http://schemas.openxmlformats.org/officeDocument/2006/relationships" name="01 判定与容错" sheetId="2" r:id="R31bab163afcf4ffa"/>
    <x:sheet xmlns:r="http://schemas.openxmlformats.org/officeDocument/2006/relationships" name="02 魂火与惩罚" sheetId="3" r:id="R281d94e89df94517"/>
    <x:sheet xmlns:r="http://schemas.openxmlformats.org/officeDocument/2006/relationships" name="03 调频" sheetId="4" r:id="Rb3b6e0cd412744c9"/>
    <x:sheet xmlns:r="http://schemas.openxmlformats.org/officeDocument/2006/relationships" name="04 计分" sheetId="5" r:id="R11fe6c11f1cd437e"/>
    <x:sheet xmlns:r="http://schemas.openxmlformats.org/officeDocument/2006/relationships" name="05 读谱与声波" sheetId="6" r:id="R1d25ac8996314135"/>
    <x:sheet xmlns:r="http://schemas.openxmlformats.org/officeDocument/2006/relationships" name="06 随从" sheetId="7" r:id="R0fe8665dc796473b"/>
    <x:sheet xmlns:r="http://schemas.openxmlformats.org/officeDocument/2006/relationships" name="07 分界线表现" sheetId="8" r:id="R43522da3aedb45c1"/>
    <x:sheet xmlns:r="http://schemas.openxmlformats.org/officeDocument/2006/relationships" name="08 角色移动" sheetId="9" r:id="Re5f807f85cd6424b"/>
    <x:sheet xmlns:r="http://schemas.openxmlformats.org/officeDocument/2006/relationships" name="09 BOSS 表现" sheetId="10" r:id="R9099b535eaed4492"/>
    <x:sheet xmlns:r="http://schemas.openxmlformats.org/officeDocument/2006/relationships" name="10 UI 火框" sheetId="11" r:id="R04c3c9774a5f45dc"/>
    <x:sheet xmlns:r="http://schemas.openxmlformats.org/officeDocument/2006/relationships" name="11 关卡奖励" sheetId="12" r:id="R74280eb1d50748eb"/>
    <x:sheet xmlns:r="http://schemas.openxmlformats.org/officeDocument/2006/relationships" name="12 开屏引导" sheetId="13" r:id="R96cc331cb891416c"/>
    <x:sheet xmlns:r="http://schemas.openxmlformats.org/officeDocument/2006/relationships" name="13 判定表现" sheetId="14" r:id="Ra1a6ba18ff8f440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37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</x:fills>
  <x:borders count="1">
    <x:border/>
  </x:borders>
  <x:cellStyleXfs count="1">
    <x:xf numFmtId="0" fontId="0" fillId="0" borderId="0"/>
  </x:cellStyleXfs>
  <x:cellXfs count="104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  <x:xf numFmtId="0" fontId="1" fillId="23" borderId="0" xfId="0" applyNumberFormat="1" applyFont="1" applyFill="1" applyBorder="1"/>
    <x:xf numFmtId="0" fontId="3" fillId="23" borderId="0" xfId="0" applyNumberFormat="1" applyFont="1" applyFill="1" applyBorder="1"/>
    <x:xf numFmtId="0" fontId="1" fillId="24" borderId="0" xfId="0" applyNumberFormat="1" applyFont="1" applyFill="1" applyBorder="1" applyAlignment="1">
      <x:alignment vertical="center"/>
    </x:xf>
    <x:xf numFmtId="205" fontId="1" fillId="24" borderId="0" xfId="0" applyNumberFormat="1" applyFont="1" applyFill="1" applyBorder="1" applyAlignment="1">
      <x:alignment vertical="center"/>
    </x:xf>
    <x:xf numFmtId="0" fontId="1" fillId="25" borderId="0" xfId="0" applyNumberFormat="1" applyFont="1" applyFill="1" applyBorder="1" applyAlignment="1">
      <x:alignment vertical="center"/>
    </x:xf>
    <x:xf numFmtId="205" fontId="1" fillId="25" borderId="0" xfId="0" applyNumberFormat="1" applyFont="1" applyFill="1" applyBorder="1" applyAlignment="1">
      <x:alignment vertical="center"/>
    </x:xf>
    <x:xf numFmtId="0" fontId="1" fillId="26" borderId="0" xfId="0" applyNumberFormat="1" applyFont="1" applyFill="1" applyBorder="1" applyAlignment="1">
      <x:alignment vertical="center"/>
    </x:xf>
    <x:xf numFmtId="205" fontId="1" fillId="26" borderId="0" xfId="0" applyNumberFormat="1" applyFont="1" applyFill="1" applyBorder="1" applyAlignment="1">
      <x:alignment vertical="center"/>
    </x:xf>
    <x:xf numFmtId="205" fontId="1" fillId="27" borderId="0" xfId="0" applyNumberFormat="1" applyFont="1" applyFill="1" applyBorder="1" applyAlignment="1">
      <x:alignment vertical="center"/>
    </x:xf>
    <x:xf numFmtId="200" fontId="1" fillId="27" borderId="0" xfId="0" applyNumberFormat="1" applyFont="1" applyFill="1" applyBorder="1" applyAlignment="1">
      <x:alignment vertical="center"/>
    </x:xf>
    <x:xf numFmtId="201" fontId="1" fillId="27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/>
    <x:xf numFmtId="0" fontId="3" fillId="28" borderId="0" xfId="0" applyNumberFormat="1" applyFont="1" applyFill="1" applyBorder="1"/>
    <x:xf numFmtId="0" fontId="1" fillId="29" borderId="0" xfId="0" applyNumberFormat="1" applyFont="1" applyFill="1" applyBorder="1" applyAlignment="1">
      <x:alignment vertical="center"/>
    </x:xf>
    <x:xf numFmtId="206" fontId="1" fillId="29" borderId="0" xfId="0" applyNumberFormat="1" applyFont="1" applyFill="1" applyBorder="1" applyAlignment="1">
      <x:alignment vertical="center"/>
    </x:xf>
    <x:xf numFmtId="200" fontId="1" fillId="29" borderId="0" xfId="0" applyNumberFormat="1" applyFont="1" applyFill="1" applyBorder="1" applyAlignment="1">
      <x:alignment vertical="center"/>
    </x:xf>
    <x:xf numFmtId="205" fontId="1" fillId="30" borderId="0" xfId="0" applyNumberFormat="1" applyFont="1" applyFill="1" applyBorder="1" applyAlignment="1">
      <x:alignment vertical="center"/>
    </x:xf>
    <x:xf numFmtId="200" fontId="1" fillId="30" borderId="0" xfId="0" applyNumberFormat="1" applyFont="1" applyFill="1" applyBorder="1" applyAlignment="1">
      <x:alignment vertical="center"/>
    </x:xf>
    <x:xf numFmtId="201" fontId="1" fillId="30" borderId="0" xfId="0" applyNumberFormat="1" applyFont="1" applyFill="1" applyBorder="1" applyAlignment="1">
      <x:alignment vertical="center"/>
    </x:xf>
    <x:xf numFmtId="0" fontId="1" fillId="31" borderId="0" xfId="0" applyNumberFormat="1" applyFont="1" applyFill="1" applyBorder="1"/>
    <x:xf numFmtId="0" fontId="3" fillId="31" borderId="0" xfId="0" applyNumberFormat="1" applyFont="1" applyFill="1" applyBorder="1"/>
    <x:xf numFmtId="0" fontId="1" fillId="32" borderId="0" xfId="0" applyNumberFormat="1" applyFont="1" applyFill="1" applyBorder="1" applyAlignment="1">
      <x:alignment vertical="center"/>
    </x:xf>
    <x:xf numFmtId="205" fontId="1" fillId="32" borderId="0" xfId="0" applyNumberFormat="1" applyFont="1" applyFill="1" applyBorder="1" applyAlignment="1">
      <x:alignment vertical="center"/>
    </x:xf>
    <x:xf numFmtId="0" fontId="1" fillId="33" borderId="0" xfId="0" applyNumberFormat="1" applyFont="1" applyFill="1" applyBorder="1" applyAlignment="1">
      <x:alignment vertical="center"/>
    </x:xf>
    <x:xf numFmtId="205" fontId="1" fillId="33" borderId="0" xfId="0" applyNumberFormat="1" applyFont="1" applyFill="1" applyBorder="1" applyAlignment="1">
      <x:alignment vertical="center"/>
    </x:xf>
    <x:xf numFmtId="0" fontId="1" fillId="34" borderId="0" xfId="0" applyNumberFormat="1" applyFont="1" applyFill="1" applyBorder="1"/>
    <x:xf numFmtId="0" fontId="3" fillId="34" borderId="0" xfId="0" applyNumberFormat="1" applyFont="1" applyFill="1" applyBorder="1"/>
    <x:xf numFmtId="0" fontId="1" fillId="35" borderId="0" xfId="0" applyNumberFormat="1" applyFont="1" applyFill="1" applyBorder="1" applyAlignment="1">
      <x:alignment vertical="center"/>
    </x:xf>
    <x:xf numFmtId="205" fontId="1" fillId="35" borderId="0" xfId="0" applyNumberFormat="1" applyFont="1" applyFill="1" applyBorder="1" applyAlignment="1">
      <x:alignment vertical="center"/>
    </x:xf>
    <x:xf numFmtId="201" fontId="1" fillId="35" borderId="0" xfId="0" applyNumberFormat="1" applyFont="1" applyFill="1" applyBorder="1" applyAlignment="1">
      <x:alignment vertical="center"/>
    </x:xf>
    <x:xf numFmtId="206" fontId="1" fillId="35" borderId="0" xfId="0" applyNumberFormat="1" applyFont="1" applyFill="1" applyBorder="1" applyAlignment="1">
      <x:alignment vertical="center"/>
    </x:xf>
    <x:xf numFmtId="0" fontId="1" fillId="36" borderId="0" xfId="0" applyNumberFormat="1" applyFont="1" applyFill="1" applyBorder="1" applyAlignment="1">
      <x:alignment vertical="center"/>
    </x:xf>
    <x:xf numFmtId="205" fontId="1" fillId="36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5a93409bc84c0a" /><Relationship Type="http://schemas.openxmlformats.org/officeDocument/2006/relationships/theme" Target="/xl/theme/theme1.xml" Id="Re721338a9cd34cb2" /><Relationship Type="http://schemas.openxmlformats.org/officeDocument/2006/relationships/sharedStrings" Target="/xl/sharedStrings.xml" Id="R36c7e741aa404e30" /><Relationship Type="http://schemas.openxmlformats.org/officeDocument/2006/relationships/worksheet" Target="/xl/worksheets/sheet1.xml" Id="Rc61775e9c8e74b76" /><Relationship Type="http://schemas.openxmlformats.org/officeDocument/2006/relationships/worksheet" Target="/xl/worksheets/sheet2.xml" Id="R31bab163afcf4ffa" /><Relationship Type="http://schemas.openxmlformats.org/officeDocument/2006/relationships/worksheet" Target="/xl/worksheets/sheet3.xml" Id="R281d94e89df94517" /><Relationship Type="http://schemas.openxmlformats.org/officeDocument/2006/relationships/worksheet" Target="/xl/worksheets/sheet4.xml" Id="Rb3b6e0cd412744c9" /><Relationship Type="http://schemas.openxmlformats.org/officeDocument/2006/relationships/worksheet" Target="/xl/worksheets/sheet5.xml" Id="R11fe6c11f1cd437e" /><Relationship Type="http://schemas.openxmlformats.org/officeDocument/2006/relationships/worksheet" Target="/xl/worksheets/sheet6.xml" Id="R1d25ac8996314135" /><Relationship Type="http://schemas.openxmlformats.org/officeDocument/2006/relationships/worksheet" Target="/xl/worksheets/sheet7.xml" Id="R0fe8665dc796473b" /><Relationship Type="http://schemas.openxmlformats.org/officeDocument/2006/relationships/worksheet" Target="/xl/worksheets/sheet8.xml" Id="R43522da3aedb45c1" /><Relationship Type="http://schemas.openxmlformats.org/officeDocument/2006/relationships/worksheet" Target="/xl/worksheets/sheet9.xml" Id="Re5f807f85cd6424b" /><Relationship Type="http://schemas.openxmlformats.org/officeDocument/2006/relationships/worksheet" Target="/xl/worksheets/sheet10.xml" Id="R9099b535eaed4492" /><Relationship Type="http://schemas.openxmlformats.org/officeDocument/2006/relationships/worksheet" Target="/xl/worksheets/sheet11.xml" Id="R04c3c9774a5f45dc" /><Relationship Type="http://schemas.openxmlformats.org/officeDocument/2006/relationships/worksheet" Target="/xl/worksheets/sheet12.xml" Id="R74280eb1d50748eb" /><Relationship Type="http://schemas.openxmlformats.org/officeDocument/2006/relationships/worksheet" Target="/xl/worksheets/sheet13.xml" Id="R96cc331cb891416c" /><Relationship Type="http://schemas.openxmlformats.org/officeDocument/2006/relationships/worksheet" Target="/xl/worksheets/sheet14.xml" Id="Ra1a6ba18ff8f440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7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鬼金羊基础：每组 Tap 伤害（点）</x:v>
      </x:c>
      <x:c r="B20" s="1" t="n">
        <x:f>ROUND('02 魂火与惩罚'!B7*(1-'06 随从'!B8),0)</x:f>
        <x:v>14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6.4</x:v>
      </x:c>
    </x:row>
    <x:row r="28" ht="30" customHeight="1">
      <x:c r="A28" s="1" t="str">
        <x:v>无随从：漏掉两拍 Hold 的伤害</x:v>
      </x:c>
      <x:c r="B28" s="1" t="n">
        <x:f>ROUND(2*B27,0)</x:f>
        <x:v>13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13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短暂松开可续接；超时失败并淡出关联调频条。尾点自动完成，无松尾判定。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16</x:v>
      </x:c>
      <x:c r="C7" s="10" t="n">
        <x:v>16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21" t="n">
        <x:v>1.6</x:v>
      </x:c>
      <x:c r="C10" s="20" t="n">
        <x:v>1.6</x:v>
      </x:c>
      <x:c r="D10" s="6" t="str">
        <x:v>点/段</x:v>
      </x:c>
      <x:c r="E10" s="6" t="str">
        <x:v>1～4</x:v>
      </x:c>
      <x:c r="F10" s="20" t="n">
        <x:v>0.1</x:v>
      </x:c>
      <x:c r="G10" s="8" t="str">
        <x:v>未消耗身体抵达角色后按拍逐段扣血；支持小数并按漏失拍长累计取整，无额外头部或整条失败伤害。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8</x:v>
      </x:c>
      <x:c r="C12" s="10" t="n">
        <x:v>8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decimal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最低成功比例；低于此值或松开记 Miss。关联 Hold 失败后滑条淡出，仍按原时刻结算；仅 Ghost 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  <x:row r="8" ht="46" customHeight="1">
      <x:c r="A8" s="6" t="str">
        <x:v>Ghost 额外预告</x:v>
      </x:c>
      <x:c r="B8" s="21" t="n">
        <x:v>0.45</x:v>
      </x:c>
      <x:c r="C8" s="20" t="n">
        <x:v>0.45</x:v>
      </x:c>
      <x:c r="D8" s="6" t="str">
        <x:v>s</x:v>
      </x:c>
      <x:c r="E8" s="6" t="str">
        <x:v>0.2～0.8</x:v>
      </x:c>
      <x:c r="F8" s="20" t="n">
        <x:v>0.05</x:v>
      </x:c>
      <x:c r="G8" s="8" t="str">
        <x:v>在普通接近时间前额外显示闭眼 Ghost；同步提前固定预测位置的取样边界，不改变结算时刻、调频评分或伤害。</x:v>
      </x:c>
      <x:c r="H8" s="6" t="str">
        <x:v>rules</x:v>
      </x:c>
      <x:c r="I8" s="6" t="str">
        <x:v>ghost_preview_extra_sec</x:v>
      </x:c>
      <x:c r="J8" s="6" t="str">
        <x:v>src/content/resources/gameplay_rule_set.gd</x:v>
      </x:c>
    </x:row>
  </x:sheetData>
  <x:dataValidations count="3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女土蝠·基础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女土蝠·进阶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鬼金羊·基础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鬼金羊·进阶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翼火蛇·基础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翼火蛇·进阶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翼火蛇·基础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翼火蛇·进阶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翼火蛇·基础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翼火蛇·进阶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87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87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87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88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87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88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87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87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87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89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87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87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21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21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  <x:row r="11" ht="46" customHeight="1">
      <x:c r="A11" s="6" t="str">
        <x:v>人物横向偏移</x:v>
      </x:c>
      <x:c r="B11" s="21" t="n">
        <x:v>36</x:v>
      </x:c>
      <x:c r="C11" s="20" t="n">
        <x:v>36</x:v>
      </x:c>
      <x:c r="D11" s="6" t="str">
        <x:v>设计 px</x:v>
      </x:c>
      <x:c r="E11" s="6" t="str">
        <x:v>20～50</x:v>
      </x:c>
      <x:c r="F11" s="10" t="n">
        <x:v>4</x:v>
      </x:c>
      <x:c r="G11" s="8" t="str">
        <x:v>人物与附属编钟沿本侧局部 X 移动，死侧中心对称；不改变玩法波源。</x:v>
      </x:c>
      <x:c r="H11" s="6" t="str">
        <x:v>actors</x:v>
      </x:c>
      <x:c r="I11" s="6" t="str">
        <x:v>actor_shift_px</x:v>
      </x:c>
      <x:c r="J11" s="6" t="str">
        <x:v>src/content/resources/stage_visual_theme.gd</x:v>
      </x:c>
    </x:row>
    <x:row r="12" ht="46" customHeight="1">
      <x:c r="A12" s="6" t="str">
        <x:v>编钟向人物收近</x:v>
      </x:c>
      <x:c r="B12" s="21" t="n">
        <x:v>24</x:v>
      </x:c>
      <x:c r="C12" s="20" t="n">
        <x:v>24</x:v>
      </x:c>
      <x:c r="D12" s="6" t="str">
        <x:v>设计 px</x:v>
      </x:c>
      <x:c r="E12" s="6" t="str">
        <x:v>12～40</x:v>
      </x:c>
      <x:c r="F12" s="10" t="n">
        <x:v>4</x:v>
      </x:c>
      <x:c r="G12" s="8" t="str">
        <x:v>相对场景原始人钟间距向内收近；正数缩短距离，不移动人物。</x:v>
      </x:c>
      <x:c r="H12" s="6" t="str">
        <x:v>actors</x:v>
      </x:c>
      <x:c r="I12" s="6" t="str">
        <x:v>bell_inset_px</x:v>
      </x:c>
      <x:c r="J12" s="6" t="str">
        <x:v>src/content/resources/stage_visual_theme.gd</x:v>
      </x:c>
    </x:row>
    <x:row r="13" ht="46" customHeight="1">
      <x:c r="A13" s="6" t="str">
        <x:v>宠物横向偏移</x:v>
      </x:c>
      <x:c r="B13" s="21" t="n">
        <x:v>-60</x:v>
      </x:c>
      <x:c r="C13" s="20" t="n">
        <x:v>-60</x:v>
      </x:c>
      <x:c r="D13" s="6" t="str">
        <x:v>设计 px</x:v>
      </x:c>
      <x:c r="E13" s="6" t="str">
        <x:v>-80～-40</x:v>
      </x:c>
      <x:c r="F13" s="10" t="n">
        <x:v>4</x:v>
      </x:c>
      <x:c r="G13" s="8" t="str">
        <x:v>叠加在随从锚点上，负数向本侧画面外移动；死侧中心对称。</x:v>
      </x:c>
      <x:c r="H13" s="6" t="str">
        <x:v>actors</x:v>
      </x:c>
      <x:c r="I13" s="6" t="str">
        <x:v>pet_shift_px</x:v>
      </x:c>
      <x:c r="J13" s="6" t="str">
        <x:v>src/content/resources/stage_visual_theme.gd</x:v>
      </x:c>
    </x:row>
    <x:row r="14" ht="46" customHeight="1">
      <x:c r="A14" s="6" t="str">
        <x:v>宠物大小倍率</x:v>
      </x:c>
      <x:c r="B14" s="21" t="n">
        <x:v>0.85</x:v>
      </x:c>
      <x:c r="C14" s="20" t="n">
        <x:v>0.85</x:v>
      </x:c>
      <x:c r="D14" s="6" t="str">
        <x:v>倍</x:v>
      </x:c>
      <x:c r="E14" s="6" t="str">
        <x:v>0.75～0.95</x:v>
      </x:c>
      <x:c r="F14" s="20" t="n">
        <x:v>0.05</x:v>
      </x:c>
      <x:c r="G14" s="8" t="str">
        <x:v>乘以随从资源原有 world_scale；不改变技能、头像或菜单尺寸。</x:v>
      </x:c>
      <x:c r="H14" s="6" t="str">
        <x:v>actors</x:v>
      </x:c>
      <x:c r="I14" s="6" t="str">
        <x:v>pet_scale_multiplier</x:v>
      </x:c>
      <x:c r="J14" s="6" t="str">
        <x:v>src/content/resources/stage_visual_theme.gd</x:v>
      </x:c>
    </x:row>
    <x:row r="15" ht="46" customHeight="1">
      <x:c r="A15" s="6" t="str">
        <x:v>编钟浮动幅度</x:v>
      </x:c>
      <x:c r="B15" s="21" t="n">
        <x:v>4</x:v>
      </x:c>
      <x:c r="C15" s="20" t="n">
        <x:v>4</x:v>
      </x:c>
      <x:c r="D15" s="6" t="str">
        <x:v>设计 px</x:v>
      </x:c>
      <x:c r="E15" s="6" t="str">
        <x:v>2～6</x:v>
      </x:c>
      <x:c r="F15" s="10" t="n">
        <x:v>1</x:v>
      </x:c>
      <x:c r="G15" s="8" t="str">
        <x:v>相对静止位置的上下最大偏移；随歌曲时钟，暂停冻结。</x:v>
      </x:c>
      <x:c r="H15" s="6" t="str">
        <x:v>actors</x:v>
      </x:c>
      <x:c r="I15" s="6" t="str">
        <x:v>bell_float_height_px</x:v>
      </x:c>
      <x:c r="J15" s="6" t="str">
        <x:v>src/content/resources/stage_visual_theme.gd</x:v>
      </x:c>
    </x:row>
    <x:row r="16" ht="46" customHeight="1">
      <x:c r="A16" s="6" t="str">
        <x:v>编钟光效强度</x:v>
      </x:c>
      <x:c r="B16" s="21" t="n">
        <x:v>1</x:v>
      </x:c>
      <x:c r="C16" s="20" t="n">
        <x:v>1</x:v>
      </x:c>
      <x:c r="D16" s="6" t="str">
        <x:v>倍</x:v>
      </x:c>
      <x:c r="E16" s="6" t="str">
        <x:v>0.6～1.4</x:v>
      </x:c>
      <x:c r="F16" s="20" t="n">
        <x:v>0.1</x:v>
      </x:c>
      <x:c r="G16" s="8" t="str">
        <x:v>统一缩放阵营柔光与挥槌接触时的提亮，保留原金属纹理。</x:v>
      </x:c>
      <x:c r="H16" s="6" t="str">
        <x:v>actors</x:v>
      </x:c>
      <x:c r="I16" s="6" t="str">
        <x:v>bell_glow_strength</x:v>
      </x:c>
      <x:c r="J16" s="6" t="str">
        <x:v>src/content/resources/stage_visual_theme.gd</x:v>
      </x:c>
    </x:row>
  </x:sheetData>
  <x:dataValidations count="9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  <x:dataValidation type="decimal" operator="between" sqref="B11">
      <x:formula1>-100</x:formula1>
      <x:formula2>100</x:formula2>
    </x:dataValidation>
    <x:dataValidation type="decimal" operator="between" sqref="B12">
      <x:formula1>-60</x:formula1>
      <x:formula2>100</x:formula2>
    </x:dataValidation>
    <x:dataValidation type="decimal" operator="between" sqref="B13">
      <x:formula1>-100</x:formula1>
      <x:formula2>100</x:formula2>
    </x:dataValidation>
    <x:dataValidation type="decimal" operator="between" sqref="B14">
      <x:formula1>0.5</x:formula1>
      <x:formula2>1.5</x:formula2>
    </x:dataValidation>
    <x:dataValidation type="decimal" operator="between" sqref="B15">
      <x:formula1>0</x:formula1>
      <x:formula2>12</x:formula2>
    </x:dataValidation>
    <x:dataValidation type="decimal" operator="between" sqref="B16">
      <x:formula1>0</x:formula1>
      <x:formula2>2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修改黄色当前值，重新装载关卡或 BOSS 审看场景后生效；对象和绑定可覆盖战斗及发射默认值。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调整光波、火焰、眼光及羊头裂光和白场。攻击不提亮手部，默认白场保持0.5秒。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  <x:row r="9" ht="46" customHeight="1">
      <x:c r="A9" s="6" t="str">
        <x:v>BOSS 血量比例</x:v>
      </x:c>
      <x:c r="B9" s="21" t="n">
        <x:v>0.8</x:v>
      </x:c>
      <x:c r="C9" s="20" t="n">
        <x:v>0.8</x:v>
      </x:c>
      <x:c r="D9" s="6" t="str">
        <x:v>倍</x:v>
      </x:c>
      <x:c r="E9" s="6" t="str">
        <x:v>0.05～2</x:v>
      </x:c>
      <x:c r="F9" s="20" t="n">
        <x:v>0.05</x:v>
      </x:c>
      <x:c r="G9" s="8" t="str">
        <x:v>最大血量相对所属音符理论总伤害；零血先破防，最后一波结束后死亡。</x:v>
      </x:c>
      <x:c r="H9" s="6" t="str">
        <x:v>boss</x:v>
      </x:c>
      <x:c r="I9" s="6" t="str">
        <x:v>health_ratio</x:v>
      </x:c>
      <x:c r="J9" s="6" t="str">
        <x:v>src/runtime/director/level_boss_compiler.gd</x:v>
      </x:c>
    </x:row>
    <x:row r="10" ht="46" customHeight="1">
      <x:c r="A10" s="6" t="str">
        <x:v>BOSS 巡航速度</x:v>
      </x:c>
      <x:c r="B10" s="21" t="n">
        <x:v>600</x:v>
      </x:c>
      <x:c r="C10" s="20" t="n">
        <x:v>600</x:v>
      </x:c>
      <x:c r="D10" s="6" t="str">
        <x:v>设计像素/秒</x:v>
      </x:c>
      <x:c r="E10" s="6" t="str">
        <x:v>100～3000</x:v>
      </x:c>
      <x:c r="F10" s="10" t="n">
        <x:v>10</x:v>
      </x:c>
      <x:c r="G10" s="8" t="str">
        <x:v>根据曲线弧长反推提前发射时间，不改变判定拍点；对象及绑定可以覆盖。</x:v>
      </x:c>
      <x:c r="H10" s="6" t="str">
        <x:v>boss</x:v>
      </x:c>
      <x:c r="I10" s="6" t="str">
        <x:v>flight_speed</x:v>
      </x:c>
      <x:c r="J10" s="6" t="str">
        <x:v>src/runtime/director/level_boss_compiler.gd</x:v>
      </x:c>
    </x:row>
    <x:row r="11" ht="46" customHeight="1">
      <x:c r="A11" s="6" t="str">
        <x:v>BOSS 散射半角</x:v>
      </x:c>
      <x:c r="B11" s="21" t="n">
        <x:v>30</x:v>
      </x:c>
      <x:c r="C11" s="20" t="n">
        <x:v>30</x:v>
      </x:c>
      <x:c r="D11" s="6" t="str">
        <x:v>度</x:v>
      </x:c>
      <x:c r="E11" s="6" t="str">
        <x:v>0～60</x:v>
      </x:c>
      <x:c r="F11" s="10" t="n">
        <x:v>1</x:v>
      </x:c>
      <x:c r="G11" s="8" t="str">
        <x:v>对应侧出手方向的随机半角；稳定音符 ID 决定结果，后段平滑贴回原路线。</x:v>
      </x:c>
      <x:c r="H11" s="6" t="str">
        <x:v>boss</x:v>
      </x:c>
      <x:c r="I11" s="6" t="str">
        <x:v>spread_deg</x:v>
      </x:c>
      <x:c r="J11" s="6" t="str">
        <x:v>src/runtime/director/level_boss_compiler.gd</x:v>
      </x:c>
    </x:row>
  </x:sheetData>
  <x:dataValidations count="6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  <x:dataValidation type="decimal" operator="between" sqref="B9">
      <x:formula1>0.05</x:formula1>
      <x:formula2>2</x:formula2>
    </x:dataValidation>
    <x:dataValidation type="decimal" operator="between" sqref="B10">
      <x:formula1>100</x:formula1>
      <x:formula2>3000</x:formula2>
    </x:dataValidation>
    <x:dataValidation type="decimal" operator="between" sqref="B11">
      <x:formula1>0</x:formula1>
      <x:formula2>60</x:formula2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UI 火框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UI 火框审看场景后生效；本轮尚未替换正式界面。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72" t="str">
        <x:v>参数</x:v>
      </x:c>
      <x:c r="B5" s="72" t="str">
        <x:v>当前值</x:v>
      </x:c>
      <x:c r="C5" s="72" t="str">
        <x:v>原型默认</x:v>
      </x:c>
      <x:c r="D5" s="72" t="str">
        <x:v>单位</x:v>
      </x:c>
      <x:c r="E5" s="72" t="str">
        <x:v>建议试调区间</x:v>
      </x:c>
      <x:c r="F5" s="72" t="str">
        <x:v>每次建议改动</x:v>
      </x:c>
      <x:c r="G5" s="72" t="str">
        <x:v>作用与注意事项</x:v>
      </x:c>
      <x:c r="H5" s="72" t="str">
        <x:v>配置对象</x:v>
      </x:c>
      <x:c r="I5" s="72" t="str">
        <x:v>字段名</x:v>
      </x:c>
      <x:c r="J5" s="72" t="str">
        <x:v>来源（Game 内）</x:v>
      </x:c>
    </x:row>
    <x:row r="6" ht="46" customHeight="1">
      <x:c r="A6" s="6" t="str">
        <x:v>火势高度</x:v>
      </x:c>
      <x:c r="B6" s="21" t="n">
        <x:v>48</x:v>
      </x:c>
      <x:c r="C6" s="20" t="n">
        <x:v>48</x:v>
      </x:c>
      <x:c r="D6" s="6" t="str">
        <x:v>设计 px</x:v>
      </x:c>
      <x:c r="E6" s="6" t="str">
        <x:v>24～72</x:v>
      </x:c>
      <x:c r="F6" s="10" t="n">
        <x:v>2</x:v>
      </x:c>
      <x:c r="G6" s="8" t="str">
        <x:v>控制火舌的基准高度；根部固定，焰身持续上窜，少数火簇较大、其余细短。调节时环带透明边距同步更新，不拉伸整张原图。</x:v>
      </x:c>
      <x:c r="H6" s="6" t="str">
        <x:v>ui_flame</x:v>
      </x:c>
      <x:c r="I6" s="6" t="str">
        <x:v>flame_height</x:v>
      </x:c>
      <x:c r="J6" s="6" t="str">
        <x:v>src/presentation/ui/flame_frame_visual.gd</x:v>
      </x:c>
    </x:row>
    <x:row r="7" ht="46" customHeight="1">
      <x:c r="A7" s="6" t="str">
        <x:v>燃烧速度</x:v>
      </x:c>
      <x:c r="B7" s="21" t="n">
        <x:v>90</x:v>
      </x:c>
      <x:c r="C7" s="20" t="n">
        <x:v>90</x:v>
      </x:c>
      <x:c r="D7" s="6" t="str">
        <x:v>设计 px/s</x:v>
      </x:c>
      <x:c r="E7" s="6" t="str">
        <x:v>0～180</x:v>
      </x:c>
      <x:c r="F7" s="10" t="n">
        <x:v>5</x:v>
      </x:c>
      <x:c r="G7" s="8" t="str">
        <x:v>控制焰身上窜、卷动与尖端消退的时间速度；0冻结，红蓝共用同一运动规律。</x:v>
      </x:c>
      <x:c r="H7" s="6" t="str">
        <x:v>ui_flame</x:v>
      </x:c>
      <x:c r="I7" s="6" t="str">
        <x:v>speed</x:v>
      </x:c>
      <x:c r="J7" s="6" t="str">
        <x:v>src/presentation/ui/flame_frame_visual.gd</x:v>
      </x:c>
    </x:row>
    <x:row r="8" ht="46" customHeight="1">
      <x:c r="A8" s="6" t="str">
        <x:v>柔晕强度</x:v>
      </x:c>
      <x:c r="B8" s="21" t="n">
        <x:v>1</x:v>
      </x:c>
      <x:c r="C8" s="20" t="n">
        <x:v>1</x:v>
      </x:c>
      <x:c r="D8" s="6" t="str">
        <x:v>倍</x:v>
      </x:c>
      <x:c r="E8" s="6" t="str">
        <x:v>0～2</x:v>
      </x:c>
      <x:c r="F8" s="20" t="n">
        <x:v>0.1</x:v>
      </x:c>
      <x:c r="G8" s="8" t="str">
        <x:v>只调节局部外晕及八个附属火尖；0保留主要火焰，不改变文字或背景亮度。</x:v>
      </x:c>
      <x:c r="H8" s="6" t="str">
        <x:v>ui_flame</x:v>
      </x:c>
      <x:c r="I8" s="6" t="str">
        <x:v>glow_strength</x:v>
      </x:c>
      <x:c r="J8" s="6" t="str">
        <x:v>src/presentation/ui/flame_frame_visual.gd</x:v>
      </x:c>
    </x:row>
  </x:sheetData>
  <x:dataValidations count="3">
    <x:dataValidation type="decimal" operator="between" sqref="B6">
      <x:formula1>24</x:formula1>
      <x:formula2>72</x:formula2>
    </x:dataValidation>
    <x:dataValidation type="decimal" operator="between" sqref="B7">
      <x:formula1>0</x:formula1>
      <x:formula2>180</x:formula2>
    </x:dataValidation>
    <x:dataValidation type="decimal" operator="between" sqref="B8">
      <x:formula1>0</x:formula1>
      <x:formula2>2</x:formula2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0" hidden="0" customWidth="1"/>
    <x:col min="3" max="3" width="20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关卡奖励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修改黄色当前值，下次正式装载生效。玄同收服、至臻进阶；不会撤回既有奖励。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83" t="str">
        <x:v>参数</x:v>
      </x:c>
      <x:c r="B5" s="83" t="str">
        <x:v>当前值</x:v>
      </x:c>
      <x:c r="C5" s="83" t="str">
        <x:v>原型默认</x:v>
      </x:c>
      <x:c r="D5" s="83" t="str">
        <x:v>单位</x:v>
      </x:c>
      <x:c r="E5" s="83" t="str">
        <x:v>建议试调区间</x:v>
      </x:c>
      <x:c r="F5" s="83" t="str">
        <x:v>每次建议改动</x:v>
      </x:c>
      <x:c r="G5" s="83" t="str">
        <x:v>作用与注意事项</x:v>
      </x:c>
      <x:c r="H5" s="83" t="str">
        <x:v>配置对象</x:v>
      </x:c>
      <x:c r="I5" s="83" t="str">
        <x:v>字段名</x:v>
      </x:c>
      <x:c r="J5" s="83" t="str">
        <x:v>来源（Game 内）</x:v>
      </x:c>
    </x:row>
    <x:row r="6" ht="46" customHeight="1">
      <x:c r="A6" s="6" t="str">
        <x:v>女土蝠 · 下一关</x:v>
      </x:c>
      <x:c r="B6" s="50" t="str">
        <x:v>s07</x:v>
      </x:c>
      <x:c r="C6" s="47" t="str">
        <x:v>s07</x:v>
      </x:c>
      <x:c r="D6" s="6" t="str">
        <x:v>关卡 ID</x:v>
      </x:c>
      <x:c r="E6" s="6" t="str">
        <x:v>已登记关卡 ID / 留空</x:v>
      </x:c>
      <x:c r="F6" s="10" t="n">
        <x:v>0</x:v>
      </x:c>
      <x:c r="G6" s="8" t="str">
        <x:v>通关后解锁并提供下一关入口。填写关卡稳定 ID；留空表示末关。仅正式关卡使用。</x:v>
      </x:c>
      <x:c r="H6" s="6" t="str">
        <x:v>reward:tutorial2</x:v>
      </x:c>
      <x:c r="I6" s="6" t="str">
        <x:v>next_stage_id</x:v>
      </x:c>
      <x:c r="J6" s="6" t="str">
        <x:v>content/stages/tutorial2/reward.tres</x:v>
      </x:c>
    </x:row>
    <x:row r="7" ht="46" customHeight="1">
      <x:c r="A7" s="6" t="str">
        <x:v>女土蝠 · 玄同收服</x:v>
      </x:c>
      <x:c r="B7" s="9" t="n">
        <x:v>1</x:v>
      </x:c>
      <x:c r="C7" s="10" t="n">
        <x:v>1</x:v>
      </x:c>
      <x:c r="D7" s="6" t="str">
        <x:v>开关</x:v>
      </x:c>
      <x:c r="E7" s="6" t="str">
        <x:v>0 / 1</x:v>
      </x:c>
      <x:c r="F7" s="10" t="n">
        <x:v>1</x:v>
      </x:c>
      <x:c r="G7" s="8" t="str">
        <x:v>玄同授予本关对应随从的基础形态。0 关闭，1 开启；不撤回已经获得的随从。</x:v>
      </x:c>
      <x:c r="H7" s="6" t="str">
        <x:v>reward:tutorial2</x:v>
      </x:c>
      <x:c r="I7" s="6" t="str">
        <x:v>fc_grants_base_pet</x:v>
      </x:c>
      <x:c r="J7" s="6" t="str">
        <x:v>content/stages/tutorial2/reward.tres</x:v>
      </x:c>
    </x:row>
    <x:row r="8" ht="46" customHeight="1">
      <x:c r="A8" s="6" t="str">
        <x:v>女土蝠 · 至臻进阶</x:v>
      </x:c>
      <x:c r="B8" s="9" t="n">
        <x:v>1</x:v>
      </x:c>
      <x:c r="C8" s="10" t="n">
        <x:v>1</x:v>
      </x:c>
      <x:c r="D8" s="6" t="str">
        <x:v>开关</x:v>
      </x:c>
      <x:c r="E8" s="6" t="str">
        <x:v>0 / 1</x:v>
      </x:c>
      <x:c r="F8" s="10" t="n">
        <x:v>1</x:v>
      </x:c>
      <x:c r="G8" s="8" t="str">
        <x:v>至臻授予本关对应随从的进阶形态，并保证已收服。0 关闭，1 开启。</x:v>
      </x:c>
      <x:c r="H8" s="6" t="str">
        <x:v>reward:tutorial2</x:v>
      </x:c>
      <x:c r="I8" s="6" t="str">
        <x:v>ap_grants_advanced_pet</x:v>
      </x:c>
      <x:c r="J8" s="6" t="str">
        <x:v>content/stages/tutorial2/reward.tres</x:v>
      </x:c>
    </x:row>
    <x:row r="9" ht="46" customHeight="1">
      <x:c r="A9" s="6" t="str">
        <x:v>翼火蛇 · 下一关</x:v>
      </x:c>
      <x:c r="B9" s="50" t="str">
        <x:v>s08</x:v>
      </x:c>
      <x:c r="C9" s="47" t="str">
        <x:v>s08</x:v>
      </x:c>
      <x:c r="D9" s="6" t="str">
        <x:v>关卡 ID</x:v>
      </x:c>
      <x:c r="E9" s="6" t="str">
        <x:v>已登记关卡 ID / 留空</x:v>
      </x:c>
      <x:c r="F9" s="10" t="n">
        <x:v>0</x:v>
      </x:c>
      <x:c r="G9" s="8" t="str">
        <x:v>通关后解锁并提供下一关入口。填写关卡稳定 ID；留空表示末关。仅正式关卡使用。</x:v>
      </x:c>
      <x:c r="H9" s="6" t="str">
        <x:v>reward:s07</x:v>
      </x:c>
      <x:c r="I9" s="6" t="str">
        <x:v>next_stage_id</x:v>
      </x:c>
      <x:c r="J9" s="6" t="str">
        <x:v>content/stages/s07/reward_definition.tres</x:v>
      </x:c>
    </x:row>
    <x:row r="10" ht="46" customHeight="1">
      <x:c r="A10" s="6" t="str">
        <x:v>翼火蛇 · 玄同收服</x:v>
      </x:c>
      <x:c r="B10" s="9" t="n">
        <x:v>1</x:v>
      </x:c>
      <x:c r="C10" s="10" t="n">
        <x:v>1</x:v>
      </x:c>
      <x:c r="D10" s="6" t="str">
        <x:v>开关</x:v>
      </x:c>
      <x:c r="E10" s="6" t="str">
        <x:v>0 / 1</x:v>
      </x:c>
      <x:c r="F10" s="10" t="n">
        <x:v>1</x:v>
      </x:c>
      <x:c r="G10" s="8" t="str">
        <x:v>玄同授予本关对应随从的基础形态。0 关闭，1 开启；不撤回已经获得的随从。</x:v>
      </x:c>
      <x:c r="H10" s="6" t="str">
        <x:v>reward:s07</x:v>
      </x:c>
      <x:c r="I10" s="6" t="str">
        <x:v>fc_grants_base_pet</x:v>
      </x:c>
      <x:c r="J10" s="6" t="str">
        <x:v>content/stages/s07/reward_definition.tres</x:v>
      </x:c>
    </x:row>
    <x:row r="11" ht="46" customHeight="1">
      <x:c r="A11" s="6" t="str">
        <x:v>翼火蛇 · 至臻进阶</x:v>
      </x:c>
      <x:c r="B11" s="9" t="n">
        <x:v>1</x:v>
      </x:c>
      <x:c r="C11" s="10" t="n">
        <x:v>1</x:v>
      </x:c>
      <x:c r="D11" s="6" t="str">
        <x:v>开关</x:v>
      </x:c>
      <x:c r="E11" s="6" t="str">
        <x:v>0 / 1</x:v>
      </x:c>
      <x:c r="F11" s="10" t="n">
        <x:v>1</x:v>
      </x:c>
      <x:c r="G11" s="8" t="str">
        <x:v>至臻授予本关对应随从的进阶形态，并保证已收服。0 关闭，1 开启。</x:v>
      </x:c>
      <x:c r="H11" s="6" t="str">
        <x:v>reward:s07</x:v>
      </x:c>
      <x:c r="I11" s="6" t="str">
        <x:v>ap_grants_advanced_pet</x:v>
      </x:c>
      <x:c r="J11" s="6" t="str">
        <x:v>content/stages/s07/reward_definition.tres</x:v>
      </x:c>
    </x:row>
    <x:row r="12" ht="46" customHeight="1">
      <x:c r="A12" s="6" t="str">
        <x:v>鬼金羊 · 下一关</x:v>
      </x:c>
      <x:c r="B12" s="50"/>
      <x:c r="C12" s="47" t="str"/>
      <x:c r="D12" s="6" t="str">
        <x:v>关卡 ID</x:v>
      </x:c>
      <x:c r="E12" s="6" t="str">
        <x:v>已登记关卡 ID / 留空</x:v>
      </x:c>
      <x:c r="F12" s="10" t="n">
        <x:v>0</x:v>
      </x:c>
      <x:c r="G12" s="8" t="str">
        <x:v>通关后解锁并提供下一关入口。填写关卡稳定 ID；留空表示末关。仅正式关卡使用。</x:v>
      </x:c>
      <x:c r="H12" s="6" t="str">
        <x:v>reward:s08</x:v>
      </x:c>
      <x:c r="I12" s="6" t="str">
        <x:v>next_stage_id</x:v>
      </x:c>
      <x:c r="J12" s="6" t="str">
        <x:v>content/stages/s08/reward_definition.tres</x:v>
      </x:c>
    </x:row>
    <x:row r="13" ht="46" customHeight="1">
      <x:c r="A13" s="6" t="str">
        <x:v>鬼金羊 · 玄同收服</x:v>
      </x:c>
      <x:c r="B13" s="9" t="n">
        <x:v>1</x:v>
      </x:c>
      <x:c r="C13" s="10" t="n">
        <x:v>1</x:v>
      </x:c>
      <x:c r="D13" s="6" t="str">
        <x:v>开关</x:v>
      </x:c>
      <x:c r="E13" s="6" t="str">
        <x:v>0 / 1</x:v>
      </x:c>
      <x:c r="F13" s="10" t="n">
        <x:v>1</x:v>
      </x:c>
      <x:c r="G13" s="8" t="str">
        <x:v>玄同授予本关对应随从的基础形态。0 关闭，1 开启；不撤回已经获得的随从。</x:v>
      </x:c>
      <x:c r="H13" s="6" t="str">
        <x:v>reward:s08</x:v>
      </x:c>
      <x:c r="I13" s="6" t="str">
        <x:v>fc_grants_base_pet</x:v>
      </x:c>
      <x:c r="J13" s="6" t="str">
        <x:v>content/stages/s08/reward_definition.tres</x:v>
      </x:c>
    </x:row>
    <x:row r="14" ht="46" customHeight="1">
      <x:c r="A14" s="6" t="str">
        <x:v>鬼金羊 · 至臻进阶</x:v>
      </x:c>
      <x:c r="B14" s="9" t="n">
        <x:v>1</x:v>
      </x:c>
      <x:c r="C14" s="10" t="n">
        <x:v>1</x:v>
      </x:c>
      <x:c r="D14" s="6" t="str">
        <x:v>开关</x:v>
      </x:c>
      <x:c r="E14" s="6" t="str">
        <x:v>0 / 1</x:v>
      </x:c>
      <x:c r="F14" s="10" t="n">
        <x:v>1</x:v>
      </x:c>
      <x:c r="G14" s="8" t="str">
        <x:v>至臻授予本关对应随从的进阶形态，并保证已收服。0 关闭，1 开启。</x:v>
      </x:c>
      <x:c r="H14" s="6" t="str">
        <x:v>reward:s08</x:v>
      </x:c>
      <x:c r="I14" s="6" t="str">
        <x:v>ap_grants_advanced_pet</x:v>
      </x:c>
      <x:c r="J14" s="6" t="str">
        <x:v>content/stages/s08/reward_definition.tres</x:v>
      </x:c>
    </x:row>
  </x:sheetData>
  <x:dataValidations count="6">
    <x:dataValidation type="whole" operator="between" sqref="B7">
      <x:formula1>0</x:formula1>
      <x:formula2>1</x:formula2>
    </x:dataValidation>
    <x:dataValidation type="whole" operator="between" sqref="B8">
      <x:formula1>0</x:formula1>
      <x:formula2>1</x:formula2>
    </x:dataValidation>
    <x:dataValidation type="whole" operator="between" sqref="B10">
      <x:formula1>0</x:formula1>
      <x:formula2>1</x:formula2>
    </x:dataValidation>
    <x:dataValidation type="whole" operator="between" sqref="B11">
      <x:formula1>0</x:formula1>
      <x:formula2>1</x:formula2>
    </x:dataValidation>
    <x:dataValidation type="whole" operator="between" sqref="B13">
      <x:formula1>0</x:formula1>
      <x:formula2>1</x:formula2>
    </x:dataValidation>
    <x:dataValidation type="whole" operator="between" sqref="B14">
      <x:formula1>0</x:formula1>
      <x:formula2>1</x:formula2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开屏引导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修改黄色当前值，下次启动正式游戏生效；操作说明由玩家确认后继续。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1" t="str">
        <x:v>参数</x:v>
      </x:c>
      <x:c r="B5" s="91" t="str">
        <x:v>当前值</x:v>
      </x:c>
      <x:c r="C5" s="91" t="str">
        <x:v>原型默认</x:v>
      </x:c>
      <x:c r="D5" s="91" t="str">
        <x:v>单位</x:v>
      </x:c>
      <x:c r="E5" s="91" t="str">
        <x:v>建议试调区间</x:v>
      </x:c>
      <x:c r="F5" s="91" t="str">
        <x:v>每次建议改动</x:v>
      </x:c>
      <x:c r="G5" s="91" t="str">
        <x:v>作用与注意事项</x:v>
      </x:c>
      <x:c r="H5" s="91" t="str">
        <x:v>配置对象</x:v>
      </x:c>
      <x:c r="I5" s="91" t="str">
        <x:v>字段名</x:v>
      </x:c>
      <x:c r="J5" s="91" t="str">
        <x:v>来源（Game 内）</x:v>
      </x:c>
    </x:row>
    <x:row r="6" ht="46" customHeight="1">
      <x:c r="A6" s="6" t="str">
        <x:v>页面淡入</x:v>
      </x:c>
      <x:c r="B6" s="21" t="n">
        <x:v>0.6</x:v>
      </x:c>
      <x:c r="C6" s="20" t="n">
        <x:v>0.6</x:v>
      </x:c>
      <x:c r="D6" s="6" t="str">
        <x:v>秒</x:v>
      </x:c>
      <x:c r="E6" s="6" t="str">
        <x:v>0.3～1</x:v>
      </x:c>
      <x:c r="F6" s="20" t="n">
        <x:v>0.1</x:v>
      </x:c>
      <x:c r="G6" s="8" t="str">
        <x:v>MEMO、耳机提示、操作说明的淡入时长。</x:v>
      </x:c>
      <x:c r="H6" s="6" t="str">
        <x:v>ui_guides</x:v>
      </x:c>
      <x:c r="I6" s="6" t="str">
        <x:v>fade_in_sec</x:v>
      </x:c>
      <x:c r="J6" s="6" t="str">
        <x:v>src/app/ui/boot_splash.gd</x:v>
      </x:c>
    </x:row>
    <x:row r="7" ht="46" customHeight="1">
      <x:c r="A7" s="6" t="str">
        <x:v>MEMO 停留</x:v>
      </x:c>
      <x:c r="B7" s="21" t="n">
        <x:v>1.2</x:v>
      </x:c>
      <x:c r="C7" s="20" t="n">
        <x:v>1.2</x:v>
      </x:c>
      <x:c r="D7" s="6" t="str">
        <x:v>秒</x:v>
      </x:c>
      <x:c r="E7" s="6" t="str">
        <x:v>1～3</x:v>
      </x:c>
      <x:c r="F7" s="20" t="n">
        <x:v>0.1</x:v>
      </x:c>
      <x:c r="G7" s="8" t="str">
        <x:v>工作室图样完整显示后的停留时长，之后显示耳机提示。</x:v>
      </x:c>
      <x:c r="H7" s="6" t="str">
        <x:v>ui_guides</x:v>
      </x:c>
      <x:c r="I7" s="6" t="str">
        <x:v>hold_sec</x:v>
      </x:c>
      <x:c r="J7" s="6" t="str">
        <x:v>src/app/ui/boot_splash.gd</x:v>
      </x:c>
    </x:row>
    <x:row r="8" ht="46" customHeight="1">
      <x:c r="A8" s="6" t="str">
        <x:v>页面淡出</x:v>
      </x:c>
      <x:c r="B8" s="21" t="n">
        <x:v>0.6</x:v>
      </x:c>
      <x:c r="C8" s="20" t="n">
        <x:v>0.6</x:v>
      </x:c>
      <x:c r="D8" s="6" t="str">
        <x:v>秒</x:v>
      </x:c>
      <x:c r="E8" s="6" t="str">
        <x:v>0.3～1</x:v>
      </x:c>
      <x:c r="F8" s="20" t="n">
        <x:v>0.1</x:v>
      </x:c>
      <x:c r="G8" s="8" t="str">
        <x:v>MEMO、耳机提示、操作说明的淡出时长；最后另有固定 0.3 秒黑场过渡。</x:v>
      </x:c>
      <x:c r="H8" s="6" t="str">
        <x:v>ui_guides</x:v>
      </x:c>
      <x:c r="I8" s="6" t="str">
        <x:v>fade_out_sec</x:v>
      </x:c>
      <x:c r="J8" s="6" t="str">
        <x:v>src/app/ui/boot_splash.gd</x:v>
      </x:c>
    </x:row>
    <x:row r="9" ht="46" customHeight="1">
      <x:c r="A9" s="6" t="str">
        <x:v>耳机提示停留</x:v>
      </x:c>
      <x:c r="B9" s="21" t="n">
        <x:v>2.4</x:v>
      </x:c>
      <x:c r="C9" s="20" t="n">
        <x:v>2.4</x:v>
      </x:c>
      <x:c r="D9" s="6" t="str">
        <x:v>秒</x:v>
      </x:c>
      <x:c r="E9" s="6" t="str">
        <x:v>2～4</x:v>
      </x:c>
      <x:c r="F9" s="20" t="n">
        <x:v>0.1</x:v>
      </x:c>
      <x:c r="G9" s="8" t="str">
        <x:v>耳机图样和提示语完整显示后的停留时长；操作说明没有自动关闭倒计时。</x:v>
      </x:c>
      <x:c r="H9" s="6" t="str">
        <x:v>ui_guides</x:v>
      </x:c>
      <x:c r="I9" s="6" t="str">
        <x:v>headphones_hold_sec</x:v>
      </x:c>
      <x:c r="J9" s="6" t="str">
        <x:v>src/app/ui/boot_splash.gd</x:v>
      </x:c>
    </x:row>
  </x:sheetData>
  <x:dataValidations count="4">
    <x:dataValidation type="decimal" operator="between" sqref="B6">
      <x:formula1>0.1</x:formula1>
      <x:formula2>2</x:formula2>
    </x:dataValidation>
    <x:dataValidation type="decimal" operator="between" sqref="B7">
      <x:formula1>0.1</x:formula1>
      <x:formula2>8</x:formula2>
    </x:dataValidation>
    <x:dataValidation type="decimal" operator="between" sqref="B8">
      <x:formula1>0.1</x:formula1>
      <x:formula2>2</x:formula2>
    </x:dataValidation>
    <x:dataValidation type="decimal" operator="between" sqref="B9">
      <x:formula1>0.1</x:formula1>
      <x:formula2>10</x:formula2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判定表现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97" t="str">
        <x:v>参数</x:v>
      </x:c>
      <x:c r="B5" s="97" t="str">
        <x:v>当前值</x:v>
      </x:c>
      <x:c r="C5" s="97" t="str">
        <x:v>原型默认</x:v>
      </x:c>
      <x:c r="D5" s="97" t="str">
        <x:v>单位</x:v>
      </x:c>
      <x:c r="E5" s="97" t="str">
        <x:v>建议试调区间</x:v>
      </x:c>
      <x:c r="F5" s="97" t="str">
        <x:v>每次建议改动</x:v>
      </x:c>
      <x:c r="G5" s="97" t="str">
        <x:v>作用与注意事项</x:v>
      </x:c>
      <x:c r="H5" s="97" t="str">
        <x:v>配置对象</x:v>
      </x:c>
      <x:c r="I5" s="97" t="str">
        <x:v>字段名</x:v>
      </x:c>
      <x:c r="J5" s="97" t="str">
        <x:v>来源（Game 内）</x:v>
      </x:c>
    </x:row>
    <x:row r="6" ht="46" customHeight="1">
      <x:c r="A6" s="6" t="str">
        <x:v>判定字形基准高度</x:v>
      </x:c>
      <x:c r="B6" s="21" t="n">
        <x:v>480</x:v>
      </x:c>
      <x:c r="C6" s="20" t="n">
        <x:v>480</x:v>
      </x:c>
      <x:c r="D6" s="6" t="str">
        <x:v>设计 px</x:v>
      </x:c>
      <x:c r="E6" s="6" t="str">
        <x:v>448～496</x:v>
      </x:c>
      <x:c r="F6" s="10" t="n">
        <x:v>1</x:v>
      </x:c>
      <x:c r="G6" s="8" t="str">
        <x:v>实体笔画等高归一；乘现有 scale=0.25，默认实际高度 120 px，略小于 132 px 判定圈。</x:v>
      </x:c>
      <x:c r="H6" s="6" t="str">
        <x:v>judgment</x:v>
      </x:c>
      <x:c r="I6" s="6" t="str">
        <x:v>glyph_height</x:v>
      </x:c>
      <x:c r="J6" s="6" t="str">
        <x:v>src/content/resources/judgment_texture_set.gd</x:v>
      </x:c>
    </x:row>
    <x:row r="7" ht="46" customHeight="1">
      <x:c r="A7" s="6" t="str">
        <x:v>判定不透明度</x:v>
      </x:c>
      <x:c r="B7" s="11" t="n">
        <x:v>0.7</x:v>
      </x:c>
      <x:c r="C7" s="12" t="n">
        <x:v>0.7</x:v>
      </x:c>
      <x:c r="D7" s="6" t="str">
        <x:v>比例</x:v>
      </x:c>
      <x:c r="E7" s="6" t="str">
        <x:v>0.5～0.8</x:v>
      </x:c>
      <x:c r="F7" s="12" t="n">
        <x:v>0.05</x:v>
      </x:c>
      <x:c r="G7" s="8" t="str">
        <x:v>字形和对应光效的最终透明度上限，随原有判定动画淡出。</x:v>
      </x:c>
      <x:c r="H7" s="6" t="str">
        <x:v>judgment</x:v>
      </x:c>
      <x:c r="I7" s="6" t="str">
        <x:v>opacity</x:v>
      </x:c>
      <x:c r="J7" s="6" t="str">
        <x:v>src/content/resources/judgment_texture_set.gd</x:v>
      </x:c>
    </x:row>
    <x:row r="8" ht="46" customHeight="1">
      <x:c r="A8" s="6" t="str">
        <x:v>判定柔光半径</x:v>
      </x:c>
      <x:c r="B8" s="21" t="n">
        <x:v>12</x:v>
      </x:c>
      <x:c r="C8" s="20" t="n">
        <x:v>12</x:v>
      </x:c>
      <x:c r="D8" s="6" t="str">
        <x:v>设计 px</x:v>
      </x:c>
      <x:c r="E8" s="6" t="str">
        <x:v>8～18</x:v>
      </x:c>
      <x:c r="F8" s="10" t="n">
        <x:v>1</x:v>
      </x:c>
      <x:c r="G8" s="8" t="str">
        <x:v>实体笔触外侧的柔光范围；边距自动预留，不裁切。</x:v>
      </x:c>
      <x:c r="H8" s="6" t="str">
        <x:v>judgment</x:v>
      </x:c>
      <x:c r="I8" s="6" t="str">
        <x:v>glow_radius_px</x:v>
      </x:c>
      <x:c r="J8" s="6" t="str">
        <x:v>src/content/resources/judgment_texture_set.gd</x:v>
      </x:c>
    </x:row>
    <x:row r="9" ht="46" customHeight="1">
      <x:c r="A9" s="6" t="str">
        <x:v>判定柔光强度</x:v>
      </x:c>
      <x:c r="B9" s="21" t="n">
        <x:v>1.5</x:v>
      </x:c>
      <x:c r="C9" s="20" t="n">
        <x:v>1.5</x:v>
      </x:c>
      <x:c r="D9" s="6" t="str">
        <x:v>倍率</x:v>
      </x:c>
      <x:c r="E9" s="6" t="str">
        <x:v>1～2</x:v>
      </x:c>
      <x:c r="F9" s="20" t="n">
        <x:v>0.1</x:v>
      </x:c>
      <x:c r="G9" s="8" t="str">
        <x:v>同色柔光强度，0 关闭；不会把实体透明度叠加至 70% 以上。</x:v>
      </x:c>
      <x:c r="H9" s="6" t="str">
        <x:v>judgment</x:v>
      </x:c>
      <x:c r="I9" s="6" t="str">
        <x:v>glow_strength</x:v>
      </x:c>
      <x:c r="J9" s="6" t="str">
        <x:v>src/content/resources/judgment_texture_set.gd</x:v>
      </x:c>
    </x:row>
    <x:row r="10" ht="46" customHeight="1">
      <x:c r="A10" s="6" t="str">
        <x:v>臻 · 橙黄色</x:v>
      </x:c>
      <x:c r="B10" s="50" t="str">
        <x:v>#ffba48</x:v>
      </x:c>
      <x:c r="C10" s="47" t="str">
        <x:v>#ffba48</x:v>
      </x:c>
      <x:c r="D10" s="6" t="str">
        <x:v>颜色</x:v>
      </x:c>
      <x:c r="E10" s="6" t="str">
        <x:v>#RRGGBB</x:v>
      </x:c>
      <x:c r="F10" s="10" t="n">
        <x:v>0</x:v>
      </x:c>
      <x:c r="G10" s="8" t="str">
        <x:v>实体笔画及柔晕共用的颜色；保留原图笔画形状，去除原有异色低透明光晕。</x:v>
      </x:c>
      <x:c r="H10" s="6" t="str">
        <x:v>judgment</x:v>
      </x:c>
      <x:c r="I10" s="6" t="str">
        <x:v>perfect_color</x:v>
      </x:c>
      <x:c r="J10" s="6" t="str">
        <x:v>src/content/resources/judgment_texture_set.gd</x:v>
      </x:c>
    </x:row>
    <x:row r="11" ht="46" customHeight="1">
      <x:c r="A11" s="6" t="str">
        <x:v>良 · 绿色</x:v>
      </x:c>
      <x:c r="B11" s="50" t="str">
        <x:v>#77d68d</x:v>
      </x:c>
      <x:c r="C11" s="47" t="str">
        <x:v>#77d68d</x:v>
      </x:c>
      <x:c r="D11" s="6" t="str">
        <x:v>颜色</x:v>
      </x:c>
      <x:c r="E11" s="6" t="str">
        <x:v>#RRGGBB</x:v>
      </x:c>
      <x:c r="F11" s="10" t="n">
        <x:v>0</x:v>
      </x:c>
      <x:c r="G11" s="8" t="str">
        <x:v>实体笔画及柔晕共用的颜色；保留原图笔画形状，去除原有异色低透明光晕。</x:v>
      </x:c>
      <x:c r="H11" s="6" t="str">
        <x:v>judgment</x:v>
      </x:c>
      <x:c r="I11" s="6" t="str">
        <x:v>good_color</x:v>
      </x:c>
      <x:c r="J11" s="6" t="str">
        <x:v>src/content/resources/judgment_texture_set.gd</x:v>
      </x:c>
    </x:row>
    <x:row r="12" ht="46" customHeight="1">
      <x:c r="A12" s="6" t="str">
        <x:v>过 · 灰蓝色</x:v>
      </x:c>
      <x:c r="B12" s="50" t="str">
        <x:v>#8fa7bd</x:v>
      </x:c>
      <x:c r="C12" s="47" t="str">
        <x:v>#8fa7bd</x:v>
      </x:c>
      <x:c r="D12" s="6" t="str">
        <x:v>颜色</x:v>
      </x:c>
      <x:c r="E12" s="6" t="str">
        <x:v>#RRGGBB</x:v>
      </x:c>
      <x:c r="F12" s="10" t="n">
        <x:v>0</x:v>
      </x:c>
      <x:c r="G12" s="8" t="str">
        <x:v>实体笔画及柔晕共用的颜色；保留原图笔画形状，去除原有异色低透明光晕。</x:v>
      </x:c>
      <x:c r="H12" s="6" t="str">
        <x:v>judgment</x:v>
      </x:c>
      <x:c r="I12" s="6" t="str">
        <x:v>pass_color</x:v>
      </x:c>
      <x:c r="J12" s="6" t="str">
        <x:v>src/content/resources/judgment_texture_set.gd</x:v>
      </x:c>
    </x:row>
    <x:row r="13" ht="46" customHeight="1">
      <x:c r="A13" s="6" t="str">
        <x:v>失 · 灰色</x:v>
      </x:c>
      <x:c r="B13" s="50" t="str">
        <x:v>#a5a5a5</x:v>
      </x:c>
      <x:c r="C13" s="47" t="str">
        <x:v>#a5a5a5</x:v>
      </x:c>
      <x:c r="D13" s="6" t="str">
        <x:v>颜色</x:v>
      </x:c>
      <x:c r="E13" s="6" t="str">
        <x:v>#RRGGBB</x:v>
      </x:c>
      <x:c r="F13" s="10" t="n">
        <x:v>0</x:v>
      </x:c>
      <x:c r="G13" s="8" t="str">
        <x:v>实体笔画及柔晕共用的颜色；保留原图笔画形状，去除原有异色低透明光晕。</x:v>
      </x:c>
      <x:c r="H13" s="6" t="str">
        <x:v>judgment</x:v>
      </x:c>
      <x:c r="I13" s="6" t="str">
        <x:v>miss_color</x:v>
      </x:c>
      <x:c r="J13" s="6" t="str">
        <x:v>src/content/resources/judgment_texture_set.gd</x:v>
      </x:c>
    </x:row>
    <x:row r="14" ht="46" customHeight="1">
      <x:c r="A14" s="6" t="str">
        <x:v>判定位置微偏移</x:v>
      </x:c>
      <x:c r="B14" s="103" t="n">
        <x:v>2</x:v>
      </x:c>
      <x:c r="C14" s="20" t="n">
        <x:v>2</x:v>
      </x:c>
      <x:c r="D14" s="6" t="str">
        <x:v>设计 px</x:v>
      </x:c>
      <x:c r="E14" s="6" t="str">
        <x:v>1～3</x:v>
      </x:c>
      <x:c r="F14" s="20" t="n">
        <x:v>0.5</x:v>
      </x:c>
      <x:c r="G14" s="8" t="str">
        <x:v>每次在中心周围圆形范围内随机偏移，整段动画不再移动；0 关闭。同一判定重演位置一致。</x:v>
      </x:c>
      <x:c r="H14" s="6" t="str">
        <x:v>judgment</x:v>
      </x:c>
      <x:c r="I14" s="6" t="str">
        <x:v>position_jitter_px</x:v>
      </x:c>
      <x:c r="J14" s="6" t="str">
        <x:v>src/content/resources/judgment_texture_set.gd</x:v>
      </x:c>
    </x:row>
  </x:sheetData>
  <x:dataValidations count="5">
    <x:dataValidation type="decimal" operator="between" sqref="B6">
      <x:formula1>128</x:formula1>
      <x:formula2>1200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32</x:formula2>
    </x:dataValidation>
    <x:dataValidation type="decimal" operator="between" sqref="B9">
      <x:formula1>0</x:formula1>
      <x:formula2>3</x:formula2>
    </x:dataValidation>
    <x:dataValidation type="decimal" operator="between" sqref="B14">
      <x:formula1>0</x:formula1>
      <x:formula2>8</x:formula2>
    </x:dataValidation>
  </x:dataValidations>
  <x:pageMargins left="0.7" right="0.7" top="0.75" bottom="0.75" header="0.3" footer="0.3"/>
</x:worksheet>
</file>